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D:\A.G\Portfolio\Vet_clinic_Dashboard\"/>
    </mc:Choice>
  </mc:AlternateContent>
  <xr:revisionPtr revIDLastSave="0" documentId="13_ncr:1_{E051790D-EFDC-4901-B3CC-C20122E30DAB}" xr6:coauthVersionLast="47" xr6:coauthVersionMax="47" xr10:uidLastSave="{00000000-0000-0000-0000-000000000000}"/>
  <bookViews>
    <workbookView xWindow="-108" yWindow="-108" windowWidth="23256" windowHeight="12456" firstSheet="1" activeTab="1" xr2:uid="{00000000-000D-0000-FFFF-FFFF00000000}"/>
  </bookViews>
  <sheets>
    <sheet name="Reports" sheetId="1" state="hidden" r:id="rId1"/>
    <sheet name="DashBoard" sheetId="2" r:id="rId2"/>
  </sheets>
  <definedNames>
    <definedName name="_xlnm.Print_Area" localSheetId="1">DashBoard!$A$1:$AD$25</definedName>
    <definedName name="Slicer_AnimalType">#N/A</definedName>
    <definedName name="Slicer_Breed">#N/A</definedName>
    <definedName name="Slicer_MedicalHistory">#N/A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pivotCache cacheId="6"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eterinary_clinical_data_e5e191f1-b291-4335-b1e4-0c39b7b1b938" name="veterinary_clinical_data" connection="Query - veterinary_clinical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2" l="1"/>
  <c r="N16" i="2"/>
  <c r="N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DB1425-911C-4A2B-A7D0-C3EC997133BF}" name="Query - veterinary_clinical_data" description="Connection to the 'veterinary_clinical_data' query in the workbook." type="100" refreshedVersion="8" minRefreshableVersion="5">
    <extLst>
      <ext xmlns:x15="http://schemas.microsoft.com/office/spreadsheetml/2010/11/main" uri="{DE250136-89BD-433C-8126-D09CA5730AF9}">
        <x15:connection id="02c5ec3c-a3b5-47f9-b4a1-39f73d55de5f"/>
      </ext>
    </extLst>
  </connection>
  <connection id="2" xr16:uid="{8E87ACD9-A5FC-4BF7-A7DE-B5E6CE9729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<sst xmlns="http://schemas.openxmlformats.org/spreadsheetml/2006/main" count="47" uniqueCount="40">
  <si>
    <t>Row Labels</t>
  </si>
  <si>
    <t>cat</t>
  </si>
  <si>
    <t>Dog</t>
  </si>
  <si>
    <t>Grand Total</t>
  </si>
  <si>
    <t>Bengal</t>
  </si>
  <si>
    <t>British Shorthair</t>
  </si>
  <si>
    <t>Maine Coon</t>
  </si>
  <si>
    <t>Mixed Breed</t>
  </si>
  <si>
    <t>Persian</t>
  </si>
  <si>
    <t>Ragdoll</t>
  </si>
  <si>
    <t>Scottish Fold</t>
  </si>
  <si>
    <t>Siamese</t>
  </si>
  <si>
    <t>Sphynx</t>
  </si>
  <si>
    <t>Beagle</t>
  </si>
  <si>
    <t>Boxer</t>
  </si>
  <si>
    <t>Bulldog</t>
  </si>
  <si>
    <t>German Shepherd</t>
  </si>
  <si>
    <t>Golden Retriever</t>
  </si>
  <si>
    <t>Labrador Retriever</t>
  </si>
  <si>
    <t>Poodle</t>
  </si>
  <si>
    <t>Rottweiler</t>
  </si>
  <si>
    <t>Yorkshire Terrier</t>
  </si>
  <si>
    <t>Column Labels</t>
  </si>
  <si>
    <t>Total Number of Cases</t>
  </si>
  <si>
    <t>Anorexia</t>
  </si>
  <si>
    <t>Coughing</t>
  </si>
  <si>
    <t>Diarrhea</t>
  </si>
  <si>
    <t>Fever</t>
  </si>
  <si>
    <t>Lethargy</t>
  </si>
  <si>
    <t>Pain</t>
  </si>
  <si>
    <t>Sneezing</t>
  </si>
  <si>
    <t>Vomiting</t>
  </si>
  <si>
    <t>Weakness</t>
  </si>
  <si>
    <t>Weight loss</t>
  </si>
  <si>
    <t>Average of Age</t>
  </si>
  <si>
    <t>Average of Weight_kg</t>
  </si>
  <si>
    <t>Number</t>
  </si>
  <si>
    <t>Average Age</t>
  </si>
  <si>
    <t>Average Weight(Kg)</t>
  </si>
  <si>
    <t>Not vaccinated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</si>
</sst>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4"/>
      <color rgb="FF004121"/>
      <name val="Calibri"/>
      <family val="2"/>
      <scheme val="minor"/>
    </font>
    <font>
      <b/>
      <sz val="24"/>
      <color rgb="FF004121"/>
      <name val="Calibri"/>
      <family val="2"/>
      <scheme val="minor"/>
    </font>
    <font>
      <b/>
      <sz val="16"/>
      <color rgb="FF004121"/>
      <name val="Calibri"/>
      <family val="2"/>
      <scheme val="minor"/>
    </font>
  </fonts>
  <fills count="3">
    <fill>
      <patternFill patternType="none"/>
    </fill>
    <fill>
      <patternFill patternType="gray125"/>
    </fill>
    <fill>
      <patternFill patternType="solid">
        <fgColor rgb="FFF3F3F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1" fillId="2" borderId="0" xfId="0" applyFont="1" applyFill="1" applyAlignment="1">
      <alignment horizontal="right"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2" fontId="2" fillId="2" borderId="0" xfId="0" applyNumberFormat="1" applyFont="1" applyFill="1" applyAlignment="1">
      <alignment horizontal="center" vertical="center"/>
    </xf>
    <xf numFmtId="0" fontId="0" fillId="2" borderId="0" xfId="0" applyFill="1" applyAlignment="1">
      <alignment horizontal="center"/>
    </xf>
  </cellXfs>
  <cellStyles count="1">
    <cellStyle name="Normal" xfId="0" builtinId="0"/>
  </cellStyles>
  <dxfs count="5">
    <dxf>
      <font>
        <b/>
        <color theme="1"/>
      </font>
      <border>
        <bottom style="thin">
          <color theme="9"/>
        </bottom>
        <vertical/>
        <horizontal/>
      </border>
    </dxf>
    <dxf>
      <font>
        <color theme="1"/>
      </font>
      <fill>
        <patternFill>
          <bgColor rgb="FFF4F4F6"/>
        </patternFill>
      </fill>
      <border>
        <left style="thin">
          <color theme="9"/>
        </left>
        <right style="thin">
          <color theme="9"/>
        </right>
        <top style="thin">
          <color theme="9"/>
        </top>
        <bottom style="thin">
          <color theme="9"/>
        </bottom>
        <vertical/>
        <horizontal/>
      </border>
    </dxf>
    <dxf>
      <fill>
        <patternFill>
          <bgColor rgb="FFF4F4F6"/>
        </patternFill>
      </fill>
    </dxf>
    <dxf>
      <fill>
        <patternFill>
          <bgColor rgb="FFF4F4F6"/>
        </patternFill>
      </fill>
    </dxf>
    <dxf>
      <fill>
        <patternFill>
          <bgColor rgb="FF005992"/>
        </patternFill>
      </fill>
    </dxf>
  </dxfs>
  <tableStyles count="3" defaultTableStyle="TableStyleMedium2" defaultPivotStyle="PivotStyleLight16">
    <tableStyle name="Slicer Style 1" pivot="0" table="0" count="1" xr9:uid="{62136783-A0A2-47FF-B0A2-0CF340DB3DCA}">
      <tableStyleElement type="wholeTable" dxfId="4"/>
    </tableStyle>
    <tableStyle name="Slicer Style 2" pivot="0" table="0" count="2" xr9:uid="{D63B24BA-ADE1-49A3-9F32-F9870C805A63}">
      <tableStyleElement type="wholeTable" dxfId="3"/>
      <tableStyleElement type="headerRow" dxfId="2"/>
    </tableStyle>
    <tableStyle name="SlicerStyleLight6 2" pivot="0" table="0" count="10" xr9:uid="{26D63FC4-B757-4941-8102-7D705B29BBCC}">
      <tableStyleElement type="wholeTable" dxfId="1"/>
      <tableStyleElement type="headerRow" dxfId="0"/>
    </tableStyle>
  </tableStyles>
  <colors>
    <mruColors>
      <color rgb="FFF4F4F6"/>
      <color rgb="FF005992"/>
      <color rgb="FF267E7F"/>
      <color rgb="FF004121"/>
      <color rgb="FFF3F3F5"/>
      <color rgb="FF0F75AF"/>
      <color rgb="FF5E9B3B"/>
      <color rgb="FF3B415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pivotCacheDefinition" Target="pivotCache/pivotCacheDefinition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[PawGuardianDashBoard.xlsx]Reports!PivotTable1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Pet</a:t>
            </a:r>
            <a:r>
              <a:rPr lang="ar-EG" baseline="0"/>
              <a:t> </a:t>
            </a:r>
            <a:r>
              <a:rPr lang="en-US" baseline="0"/>
              <a:t>Cases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1.137656427758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
              <c:y val="1.137656427758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F75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5E9B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Reports!$B$1:$B$2</c:f>
              <c:strCache>
                <c:ptCount val="1"/>
                <c:pt idx="0">
                  <c:v>cat</c:v>
                </c:pt>
              </c:strCache>
            </c:strRef>
          </c:tx>
          <c:spPr>
            <a:solidFill>
              <a:srgbClr val="5E9B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Reports!$A$3:$A$21</c:f>
              <c:strCache>
                <c:ptCount val="18"/>
                <c:pt idx="0">
                  <c:v>Beagle</c:v>
                </c:pt>
                <c:pt idx="1">
                  <c:v>Bengal</c:v>
                </c:pt>
                <c:pt idx="2">
                  <c:v>Boxer</c:v>
                </c:pt>
                <c:pt idx="3">
                  <c:v>British Shorthair</c:v>
                </c:pt>
                <c:pt idx="4">
                  <c:v>Bulldog</c:v>
                </c:pt>
                <c:pt idx="5">
                  <c:v>German Shepherd</c:v>
                </c:pt>
                <c:pt idx="6">
                  <c:v>Golden Retriever</c:v>
                </c:pt>
                <c:pt idx="7">
                  <c:v>Labrador Retriever</c:v>
                </c:pt>
                <c:pt idx="8">
                  <c:v>Maine Coon</c:v>
                </c:pt>
                <c:pt idx="9">
                  <c:v>Mixed Breed</c:v>
                </c:pt>
                <c:pt idx="10">
                  <c:v>Persian</c:v>
                </c:pt>
                <c:pt idx="11">
                  <c:v>Poodle</c:v>
                </c:pt>
                <c:pt idx="12">
                  <c:v>Ragdoll</c:v>
                </c:pt>
                <c:pt idx="13">
                  <c:v>Rottweiler</c:v>
                </c:pt>
                <c:pt idx="14">
                  <c:v>Scottish Fold</c:v>
                </c:pt>
                <c:pt idx="15">
                  <c:v>Siamese</c:v>
                </c:pt>
                <c:pt idx="16">
                  <c:v>Sphynx</c:v>
                </c:pt>
                <c:pt idx="17">
                  <c:v>Yorkshire Terrier</c:v>
                </c:pt>
              </c:strCache>
            </c:strRef>
          </c:cat>
          <c:val>
            <c:numRef>
              <c:f>Reports!$B$3:$B$21</c:f>
              <c:numCache>
                <c:formatCode>General</c:formatCode>
                <c:ptCount val="18"/>
                <c:pt idx="1">
                  <c:v>65</c:v>
                </c:pt>
                <c:pt idx="3">
                  <c:v>47</c:v>
                </c:pt>
                <c:pt idx="8">
                  <c:v>31</c:v>
                </c:pt>
                <c:pt idx="9">
                  <c:v>52</c:v>
                </c:pt>
                <c:pt idx="10">
                  <c:v>39</c:v>
                </c:pt>
                <c:pt idx="12">
                  <c:v>45</c:v>
                </c:pt>
                <c:pt idx="14">
                  <c:v>49</c:v>
                </c:pt>
                <c:pt idx="15">
                  <c:v>58</c:v>
                </c:pt>
                <c:pt idx="16">
                  <c:v>52</c:v>
                </c:pt>
              </c:numCache>
            </c:numRef>
          </c:val>
          <c:extLst>
            <c:ext xmlns:c16="http://schemas.microsoft.com/office/drawing/2014/chart" uri="{C3380CC4-5D6E-409C-BE32-E72D297353CC}">
              <c16:uniqueId val="{00000006-EF7F-46EE-95B6-6B8D74621500}"/>
            </c:ext>
          </c:extLst>
        </c:ser>
        <c:ser>
          <c:idx val="1"/>
          <c:order val="1"/>
          <c:tx>
            <c:strRef>
              <c:f>Reports!$C$1:$C$2</c:f>
              <c:strCache>
                <c:ptCount val="1"/>
                <c:pt idx="0">
                  <c:v>Dog</c:v>
                </c:pt>
              </c:strCache>
            </c:strRef>
          </c:tx>
          <c:spPr>
            <a:solidFill>
              <a:srgbClr val="0F75A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Reports!$A$3:$A$21</c:f>
              <c:strCache>
                <c:ptCount val="18"/>
                <c:pt idx="0">
                  <c:v>Beagle</c:v>
                </c:pt>
                <c:pt idx="1">
                  <c:v>Bengal</c:v>
                </c:pt>
                <c:pt idx="2">
                  <c:v>Boxer</c:v>
                </c:pt>
                <c:pt idx="3">
                  <c:v>British Shorthair</c:v>
                </c:pt>
                <c:pt idx="4">
                  <c:v>Bulldog</c:v>
                </c:pt>
                <c:pt idx="5">
                  <c:v>German Shepherd</c:v>
                </c:pt>
                <c:pt idx="6">
                  <c:v>Golden Retriever</c:v>
                </c:pt>
                <c:pt idx="7">
                  <c:v>Labrador Retriever</c:v>
                </c:pt>
                <c:pt idx="8">
                  <c:v>Maine Coon</c:v>
                </c:pt>
                <c:pt idx="9">
                  <c:v>Mixed Breed</c:v>
                </c:pt>
                <c:pt idx="10">
                  <c:v>Persian</c:v>
                </c:pt>
                <c:pt idx="11">
                  <c:v>Poodle</c:v>
                </c:pt>
                <c:pt idx="12">
                  <c:v>Ragdoll</c:v>
                </c:pt>
                <c:pt idx="13">
                  <c:v>Rottweiler</c:v>
                </c:pt>
                <c:pt idx="14">
                  <c:v>Scottish Fold</c:v>
                </c:pt>
                <c:pt idx="15">
                  <c:v>Siamese</c:v>
                </c:pt>
                <c:pt idx="16">
                  <c:v>Sphynx</c:v>
                </c:pt>
                <c:pt idx="17">
                  <c:v>Yorkshire Terrier</c:v>
                </c:pt>
              </c:strCache>
            </c:strRef>
          </c:cat>
          <c:val>
            <c:numRef>
              <c:f>Reports!$C$3:$C$21</c:f>
              <c:numCache>
                <c:formatCode>General</c:formatCode>
                <c:ptCount val="18"/>
                <c:pt idx="0">
                  <c:v>33</c:v>
                </c:pt>
                <c:pt idx="2">
                  <c:v>52</c:v>
                </c:pt>
                <c:pt idx="4">
                  <c:v>54</c:v>
                </c:pt>
                <c:pt idx="5">
                  <c:v>60</c:v>
                </c:pt>
                <c:pt idx="6">
                  <c:v>39</c:v>
                </c:pt>
                <c:pt idx="7">
                  <c:v>45</c:v>
                </c:pt>
                <c:pt idx="9">
                  <c:v>38</c:v>
                </c:pt>
                <c:pt idx="11">
                  <c:v>46</c:v>
                </c:pt>
                <c:pt idx="13">
                  <c:v>68</c:v>
                </c:pt>
                <c:pt idx="17">
                  <c:v>49</c:v>
                </c:pt>
              </c:numCache>
            </c:numRef>
          </c:val>
          <c:extLst>
            <c:ext xmlns:c16="http://schemas.microsoft.com/office/drawing/2014/chart" uri="{C3380CC4-5D6E-409C-BE32-E72D297353CC}">
              <c16:uniqueId val="{00000002-A419-48D2-BBC2-B253A2207885}"/>
            </c:ext>
          </c:extLst>
        </c:ser>
        <c:dLbls>
          <c:dLblPos val="outEnd"/>
          <c:showLegendKey val="0"/>
          <c:showVal val="1"/>
          <c:showCatName val="0"/>
          <c:showSerName val="0"/>
          <c:showPercent val="0"/>
          <c:showBubbleSize val="0"/>
        </c:dLbls>
        <c:gapWidth val="219"/>
        <c:axId val="986172272"/>
        <c:axId val="986177672"/>
      </c:barChart>
      <c:catAx>
        <c:axId val="98617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Animals</a:t>
                </a:r>
                <a:r>
                  <a:rPr lang="en-US" baseline="0"/>
                  <a:t> Breed</a:t>
                </a:r>
              </a:p>
            </c:rich>
          </c:tx>
          <c:layout>
            <c:manualLayout>
              <c:xMode val="edge"/>
              <c:yMode val="edge"/>
              <c:x val="0.4884915139066115"/>
              <c:y val="0.813878811223682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77672"/>
        <c:crosses val="autoZero"/>
        <c:auto val="1"/>
        <c:lblAlgn val="ctr"/>
        <c:lblOffset val="100"/>
        <c:noMultiLvlLbl val="0"/>
      </c:catAx>
      <c:valAx>
        <c:axId val="986177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72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F3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[PawGuardianDashBoard.xlsx]Reports!PivotTable5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Symptoms Based ON</a:t>
            </a:r>
            <a:r>
              <a:rPr lang="en-US" baseline="0"/>
              <a:t> Medical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F75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Reports!$B$36:$B$37</c:f>
              <c:strCache>
                <c:ptCount val="1"/>
                <c:pt idx="0">
                  <c:v>Not vaccinated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Reports!$A$38:$A$48</c:f>
              <c:strCache>
                <c:ptCount val="10"/>
                <c:pt idx="0">
                  <c:v>Fever</c:v>
                </c:pt>
                <c:pt idx="1">
                  <c:v>Diarrhea</c:v>
                </c:pt>
                <c:pt idx="2">
                  <c:v>Weight loss</c:v>
                </c:pt>
                <c:pt idx="3">
                  <c:v>Anorexia</c:v>
                </c:pt>
                <c:pt idx="4">
                  <c:v>Pain</c:v>
                </c:pt>
                <c:pt idx="5">
                  <c:v>Lethargy</c:v>
                </c:pt>
                <c:pt idx="6">
                  <c:v>Weakness</c:v>
                </c:pt>
                <c:pt idx="7">
                  <c:v>Vomiting</c:v>
                </c:pt>
                <c:pt idx="8">
                  <c:v>Coughing</c:v>
                </c:pt>
                <c:pt idx="9">
                  <c:v>Sneezing</c:v>
                </c:pt>
              </c:strCache>
            </c:strRef>
          </c:cat>
          <c:val>
            <c:numRef>
              <c:f>Reports!$B$38:$B$48</c:f>
              <c:numCache>
                <c:formatCode>General</c:formatCode>
                <c:ptCount val="10"/>
                <c:pt idx="0">
                  <c:v>299</c:v>
                </c:pt>
                <c:pt idx="1">
                  <c:v>269</c:v>
                </c:pt>
                <c:pt idx="2">
                  <c:v>266</c:v>
                </c:pt>
                <c:pt idx="3">
                  <c:v>209</c:v>
                </c:pt>
                <c:pt idx="4">
                  <c:v>207</c:v>
                </c:pt>
                <c:pt idx="5">
                  <c:v>202</c:v>
                </c:pt>
                <c:pt idx="6">
                  <c:v>198</c:v>
                </c:pt>
                <c:pt idx="7">
                  <c:v>195</c:v>
                </c:pt>
                <c:pt idx="8">
                  <c:v>186</c:v>
                </c:pt>
                <c:pt idx="9">
                  <c:v>185</c:v>
                </c:pt>
              </c:numCache>
            </c:numRef>
          </c:val>
          <c:extLst>
            <c:ext xmlns:c16="http://schemas.microsoft.com/office/drawing/2014/chart" uri="{C3380CC4-5D6E-409C-BE32-E72D297353CC}">
              <c16:uniqueId val="{00000000-2FCB-448B-9FA7-F18719EFA55E}"/>
            </c:ext>
          </c:extLst>
        </c:ser>
        <c:dLbls>
          <c:dLblPos val="outEnd"/>
          <c:showLegendKey val="0"/>
          <c:showVal val="1"/>
          <c:showCatName val="0"/>
          <c:showSerName val="0"/>
          <c:showPercent val="0"/>
          <c:showBubbleSize val="0"/>
        </c:dLbls>
        <c:gapWidth val="182"/>
        <c:axId val="445159239"/>
        <c:axId val="445159599"/>
      </c:barChart>
      <c:catAx>
        <c:axId val="445159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59599"/>
        <c:crosses val="autoZero"/>
        <c:auto val="1"/>
        <c:lblAlgn val="ctr"/>
        <c:lblOffset val="100"/>
        <c:noMultiLvlLbl val="0"/>
      </c:catAx>
      <c:valAx>
        <c:axId val="44515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59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3F3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jpe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12</xdr:col>
      <xdr:colOff>586740</xdr:colOff>
      <xdr:row>24</xdr:row>
      <xdr:rowOff>175260</xdr:rowOff>
    </xdr:to>
    <xdr:graphicFrame macro="">
      <xdr:nvGraphicFramePr>
        <xdr:cNvPr id="2" name="Chart 1">
          <a:extLst>
            <a:ext uri="{FF2B5EF4-FFF2-40B4-BE49-F238E27FC236}">
              <a16:creationId xmlns:a16="http://schemas.microsoft.com/office/drawing/2014/main" id="{4283C194-2D5B-4F82-8D1B-037B89247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7620</xdr:colOff>
      <xdr:row>7</xdr:row>
      <xdr:rowOff>3133</xdr:rowOff>
    </xdr:to>
    <mc:AlternateContent xmlns:mc="http://schemas.openxmlformats.org/markup-compatibility/2006" xmlns:a14="http://schemas.microsoft.com/office/drawing/2010/main">
      <mc:Choice Requires="a14">
        <xdr:graphicFrame macro="">
          <xdr:nvGraphicFramePr>
            <xdr:cNvPr id="3" name="AnimalType">
              <a:extLst>
                <a:ext uri="{FF2B5EF4-FFF2-40B4-BE49-F238E27FC236}">
                  <a16:creationId xmlns:a16="http://schemas.microsoft.com/office/drawing/2014/main" id="{504A48B6-6FC6-F492-2E8F-86F776E065BA}"/>
                </a:ext>
              </a:extLst>
            </xdr:cNvPr>
            <xdr:cNvGraphicFramePr/>
          </xdr:nvGraphicFramePr>
          <xdr:xfrm>
            <a:off x="0" y="0"/>
            <a:ext cx="0" cy="0"/>
          </xdr:xfrm>
          <a:graphic>
            <a:graphicData uri="http://schemas.microsoft.com/office/drawing/2010/slicer">
              <sle:slicer xmlns:sle="http://schemas.microsoft.com/office/drawing/2010/slicer" name="AnimalType"/>
            </a:graphicData>
          </a:graphic>
        </xdr:graphicFrame>
      </mc:Choice>
      <mc:Fallback xmlns="">
        <xdr:sp macro="" textlink="">
          <xdr:nvSpPr>
            <xdr:cNvPr id="0" name=""/>
            <xdr:cNvSpPr>
              <a:spLocks noTextEdit="1"/>
            </xdr:cNvSpPr>
          </xdr:nvSpPr>
          <xdr:spPr>
            <a:xfrm>
              <a:off x="0" y="0"/>
              <a:ext cx="1826588" cy="126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0</xdr:row>
      <xdr:rowOff>0</xdr:rowOff>
    </xdr:from>
    <xdr:to>
      <xdr:col>15</xdr:col>
      <xdr:colOff>45720</xdr:colOff>
      <xdr:row>7</xdr:row>
      <xdr:rowOff>7620</xdr:rowOff>
    </xdr:to>
    <mc:AlternateContent xmlns:mc="http://schemas.openxmlformats.org/markup-compatibility/2006" xmlns:a14="http://schemas.microsoft.com/office/drawing/2010/main">
      <mc:Choice Requires="a14">
        <xdr:graphicFrame macro="">
          <xdr:nvGraphicFramePr>
            <xdr:cNvPr id="4" name="Breed">
              <a:extLst>
                <a:ext uri="{FF2B5EF4-FFF2-40B4-BE49-F238E27FC236}">
                  <a16:creationId xmlns:a16="http://schemas.microsoft.com/office/drawing/2014/main" id="{DB5E62E9-3D68-7A70-9E72-99E853869BF4}"/>
                </a:ext>
              </a:extLst>
            </xdr:cNvPr>
            <xdr:cNvGraphicFramePr/>
          </xdr:nvGraphicFramePr>
          <xdr:xfrm>
            <a:off x="0" y="0"/>
            <a:ext cx="0" cy="0"/>
          </xdr:xfrm>
          <a:graphic>
            <a:graphicData uri="http://schemas.microsoft.com/office/drawing/2010/slicer">
              <sle:slicer xmlns:sle="http://schemas.microsoft.com/office/drawing/2010/slicer" name="Breed"/>
            </a:graphicData>
          </a:graphic>
        </xdr:graphicFrame>
      </mc:Choice>
      <mc:Fallback xmlns="">
        <xdr:sp macro="" textlink="">
          <xdr:nvSpPr>
            <xdr:cNvPr id="0" name=""/>
            <xdr:cNvSpPr>
              <a:spLocks noTextEdit="1"/>
            </xdr:cNvSpPr>
          </xdr:nvSpPr>
          <xdr:spPr>
            <a:xfrm>
              <a:off x="1826588" y="0"/>
              <a:ext cx="7313971" cy="1269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25400</xdr:colOff>
      <xdr:row>6</xdr:row>
      <xdr:rowOff>175260</xdr:rowOff>
    </xdr:from>
    <xdr:to>
      <xdr:col>25</xdr:col>
      <xdr:colOff>7620</xdr:colOff>
      <xdr:row>24</xdr:row>
      <xdr:rowOff>175260</xdr:rowOff>
    </xdr:to>
    <xdr:graphicFrame macro="">
      <xdr:nvGraphicFramePr>
        <xdr:cNvPr id="5" name="Chart 4">
          <a:extLst>
            <a:ext uri="{FF2B5EF4-FFF2-40B4-BE49-F238E27FC236}">
              <a16:creationId xmlns:a16="http://schemas.microsoft.com/office/drawing/2014/main" id="{27C4CABF-F03F-4593-B8EC-D100C3990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45720</xdr:colOff>
      <xdr:row>0</xdr:row>
      <xdr:rowOff>0</xdr:rowOff>
    </xdr:from>
    <xdr:to>
      <xdr:col>25</xdr:col>
      <xdr:colOff>7620</xdr:colOff>
      <xdr:row>7</xdr:row>
      <xdr:rowOff>3133</xdr:rowOff>
    </xdr:to>
    <mc:AlternateContent xmlns:mc="http://schemas.openxmlformats.org/markup-compatibility/2006" xmlns:a14="http://schemas.microsoft.com/office/drawing/2010/main">
      <mc:Choice Requires="a14">
        <xdr:graphicFrame macro="">
          <xdr:nvGraphicFramePr>
            <xdr:cNvPr id="6" name="MedicalHistory">
              <a:extLst>
                <a:ext uri="{FF2B5EF4-FFF2-40B4-BE49-F238E27FC236}">
                  <a16:creationId xmlns:a16="http://schemas.microsoft.com/office/drawing/2014/main" id="{0E809F5A-DAB1-686C-5BAD-038E6243B629}"/>
                </a:ext>
              </a:extLst>
            </xdr:cNvPr>
            <xdr:cNvGraphicFramePr/>
          </xdr:nvGraphicFramePr>
          <xdr:xfrm>
            <a:off x="0" y="0"/>
            <a:ext cx="0" cy="0"/>
          </xdr:xfrm>
          <a:graphic>
            <a:graphicData uri="http://schemas.microsoft.com/office/drawing/2010/slicer">
              <sle:slicer xmlns:sle="http://schemas.microsoft.com/office/drawing/2010/slicer" name="MedicalHistory"/>
            </a:graphicData>
          </a:graphic>
        </xdr:graphicFrame>
      </mc:Choice>
      <mc:Fallback xmlns="">
        <xdr:sp macro="" textlink="">
          <xdr:nvSpPr>
            <xdr:cNvPr id="0" name=""/>
            <xdr:cNvSpPr>
              <a:spLocks noTextEdit="1"/>
            </xdr:cNvSpPr>
          </xdr:nvSpPr>
          <xdr:spPr>
            <a:xfrm>
              <a:off x="9140559" y="0"/>
              <a:ext cx="6188996" cy="126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513522</xdr:colOff>
      <xdr:row>7</xdr:row>
      <xdr:rowOff>0</xdr:rowOff>
    </xdr:from>
    <xdr:to>
      <xdr:col>8</xdr:col>
      <xdr:colOff>318052</xdr:colOff>
      <xdr:row>9</xdr:row>
      <xdr:rowOff>53008</xdr:rowOff>
    </xdr:to>
    <xdr:pic>
      <xdr:nvPicPr>
        <xdr:cNvPr id="12" name="Graphic 11" descr="Puppy with solid fill">
          <a:extLst>
            <a:ext uri="{FF2B5EF4-FFF2-40B4-BE49-F238E27FC236}">
              <a16:creationId xmlns:a16="http://schemas.microsoft.com/office/drawing/2014/main" id="{69B77283-72DB-0850-CDB8-0EB6E0E4EB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03913" y="1275522"/>
          <a:ext cx="417443" cy="417443"/>
        </a:xfrm>
        <a:prstGeom prst="rect">
          <a:avLst/>
        </a:prstGeom>
      </xdr:spPr>
    </xdr:pic>
    <xdr:clientData/>
  </xdr:twoCellAnchor>
  <xdr:twoCellAnchor editAs="oneCell">
    <xdr:from>
      <xdr:col>12</xdr:col>
      <xdr:colOff>604631</xdr:colOff>
      <xdr:row>7</xdr:row>
      <xdr:rowOff>124240</xdr:rowOff>
    </xdr:from>
    <xdr:to>
      <xdr:col>13</xdr:col>
      <xdr:colOff>356152</xdr:colOff>
      <xdr:row>9</xdr:row>
      <xdr:rowOff>124239</xdr:rowOff>
    </xdr:to>
    <xdr:pic>
      <xdr:nvPicPr>
        <xdr:cNvPr id="14" name="Graphic 13" descr="Paw prints with solid fill">
          <a:extLst>
            <a:ext uri="{FF2B5EF4-FFF2-40B4-BE49-F238E27FC236}">
              <a16:creationId xmlns:a16="http://schemas.microsoft.com/office/drawing/2014/main" id="{E7AF1152-9D7B-F9C3-D543-D4BB056609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59588" y="1399762"/>
          <a:ext cx="364434" cy="364434"/>
        </a:xfrm>
        <a:prstGeom prst="rect">
          <a:avLst/>
        </a:prstGeom>
      </xdr:spPr>
    </xdr:pic>
    <xdr:clientData/>
  </xdr:twoCellAnchor>
  <xdr:twoCellAnchor editAs="oneCell">
    <xdr:from>
      <xdr:col>13</xdr:col>
      <xdr:colOff>33131</xdr:colOff>
      <xdr:row>12</xdr:row>
      <xdr:rowOff>177248</xdr:rowOff>
    </xdr:from>
    <xdr:to>
      <xdr:col>13</xdr:col>
      <xdr:colOff>380999</xdr:colOff>
      <xdr:row>14</xdr:row>
      <xdr:rowOff>160682</xdr:rowOff>
    </xdr:to>
    <xdr:pic>
      <xdr:nvPicPr>
        <xdr:cNvPr id="16" name="Graphic 15" descr="Daily calendar with solid fill">
          <a:extLst>
            <a:ext uri="{FF2B5EF4-FFF2-40B4-BE49-F238E27FC236}">
              <a16:creationId xmlns:a16="http://schemas.microsoft.com/office/drawing/2014/main" id="{9943CF85-8147-F519-D6EE-5F95424D6BA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01001" y="2363857"/>
          <a:ext cx="347868" cy="347868"/>
        </a:xfrm>
        <a:prstGeom prst="rect">
          <a:avLst/>
        </a:prstGeom>
      </xdr:spPr>
    </xdr:pic>
    <xdr:clientData/>
  </xdr:twoCellAnchor>
  <xdr:twoCellAnchor editAs="oneCell">
    <xdr:from>
      <xdr:col>13</xdr:col>
      <xdr:colOff>16566</xdr:colOff>
      <xdr:row>19</xdr:row>
      <xdr:rowOff>1</xdr:rowOff>
    </xdr:from>
    <xdr:to>
      <xdr:col>13</xdr:col>
      <xdr:colOff>364436</xdr:colOff>
      <xdr:row>20</xdr:row>
      <xdr:rowOff>165653</xdr:rowOff>
    </xdr:to>
    <xdr:pic>
      <xdr:nvPicPr>
        <xdr:cNvPr id="20" name="Graphic 19" descr="Scale with solid fill">
          <a:extLst>
            <a:ext uri="{FF2B5EF4-FFF2-40B4-BE49-F238E27FC236}">
              <a16:creationId xmlns:a16="http://schemas.microsoft.com/office/drawing/2014/main" id="{F5083699-3199-2085-6DFA-68C093CC1FE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84436" y="3462131"/>
          <a:ext cx="347870" cy="347870"/>
        </a:xfrm>
        <a:prstGeom prst="rect">
          <a:avLst/>
        </a:prstGeom>
      </xdr:spPr>
    </xdr:pic>
    <xdr:clientData/>
  </xdr:twoCellAnchor>
  <xdr:twoCellAnchor editAs="oneCell">
    <xdr:from>
      <xdr:col>17</xdr:col>
      <xdr:colOff>140804</xdr:colOff>
      <xdr:row>7</xdr:row>
      <xdr:rowOff>1</xdr:rowOff>
    </xdr:from>
    <xdr:to>
      <xdr:col>17</xdr:col>
      <xdr:colOff>583095</xdr:colOff>
      <xdr:row>9</xdr:row>
      <xdr:rowOff>77857</xdr:rowOff>
    </xdr:to>
    <xdr:pic>
      <xdr:nvPicPr>
        <xdr:cNvPr id="22" name="Graphic 21" descr="Germ with solid fill">
          <a:extLst>
            <a:ext uri="{FF2B5EF4-FFF2-40B4-BE49-F238E27FC236}">
              <a16:creationId xmlns:a16="http://schemas.microsoft.com/office/drawing/2014/main" id="{6E81011E-5AD5-51B0-411F-CD99A43FA0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17695" y="1275523"/>
          <a:ext cx="442291" cy="442291"/>
        </a:xfrm>
        <a:prstGeom prst="rect">
          <a:avLst/>
        </a:prstGeom>
      </xdr:spPr>
    </xdr:pic>
    <xdr:clientData/>
  </xdr:twoCellAnchor>
  <xdr:twoCellAnchor editAs="oneCell">
    <xdr:from>
      <xdr:col>25</xdr:col>
      <xdr:colOff>36734</xdr:colOff>
      <xdr:row>0</xdr:row>
      <xdr:rowOff>0</xdr:rowOff>
    </xdr:from>
    <xdr:to>
      <xdr:col>30</xdr:col>
      <xdr:colOff>15217</xdr:colOff>
      <xdr:row>25</xdr:row>
      <xdr:rowOff>6048</xdr:rowOff>
    </xdr:to>
    <xdr:pic>
      <xdr:nvPicPr>
        <xdr:cNvPr id="28" name="Picture 27">
          <a:extLst>
            <a:ext uri="{FF2B5EF4-FFF2-40B4-BE49-F238E27FC236}">
              <a16:creationId xmlns:a16="http://schemas.microsoft.com/office/drawing/2014/main" id="{A3BD4771-35EA-A817-7EC1-5CCB9FC0C52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358669" y="0"/>
          <a:ext cx="3010096" cy="4512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586338078705" backgroundQuery="1" createdVersion="8" refreshedVersion="8" minRefreshableVersion="3" recordCount="0" supportSubquery="1" supportAdvancedDrill="1" xr:uid="{FDA5F4D4-C79B-44ED-BA35-C8FC36976E99}">
  <cacheSource type="external" connectionId="2"/>
  <cacheFields count="3">
    <cacheField name="[veterinary_clinical_data].[MedicalHistory].[MedicalHistory]" caption="MedicalHistory" numFmtId="0" hierarchy="5" level="1">
      <sharedItems count="11">
        <s v="Not vaccinated"/>
        <s v="Parasite history" u="1"/>
        <s v="Allergies" u="1"/>
        <s v="Chronic illness" u="1"/>
        <s v="Recent surgery" u="1"/>
        <s v="Vaccinated" u="1"/>
        <s v="Skin conditions history" u="1"/>
        <s v="Previous heart condition" u="1"/>
        <s v="Previous kidney disease" u="1"/>
        <s v="No previous conditions" u="1"/>
        <s v="Dental issues" u="1"/>
      </sharedItems>
    </cacheField>
    <cacheField name="[veterinary_clinical_data].[Symptom].[Symptom]" caption="Symptom" numFmtId="0" hierarchy="6" level="1">
      <sharedItems count="10">
        <s v="Anorexia"/>
        <s v="Coughing"/>
        <s v="Diarrhea"/>
        <s v="Fever"/>
        <s v="Lethargy"/>
        <s v="Pain"/>
        <s v="Sneezing"/>
        <s v="Vomiting"/>
        <s v="Weakness"/>
        <s v="Weight loss"/>
      </sharedItems>
    </cacheField>
    <cacheField name="[Measures].[Number]" caption="Number" numFmtId="0" hierarchy="13" level="32767"/>
  </cacheFields>
  <cacheHierarchies count="16">
    <cacheHierarchy uniqueName="[veterinary_clinical_data].[ID]" caption="ID" attribute="1" defaultMemberUniqueName="[veterinary_clinical_data].[ID].[All]" allUniqueName="[veterinary_clinical_data].[ID].[All]" dimensionUniqueName="[veterinary_clinical_data]" displayFolder="" count="2"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2" memberValueDatatype="130" unbalanced="0"/>
    <cacheHierarchy uniqueName="[veterinary_clinical_data].[Breed]" caption="Breed" attribute="1" defaultMemberUniqueName="[veterinary_clinical_data].[Breed].[All]" allUniqueName="[veterinary_clinical_data].[Breed].[All]" dimensionUniqueName="[veterinary_clinical_data]" displayFolder="" count="2" memberValueDatatype="130" unbalanced="0"/>
    <cacheHierarchy uniqueName="[veterinary_clinical_data].[Age]" caption="Age" attribute="1" defaultMemberUniqueName="[veterinary_clinical_data].[Age].[All]" allUniqueName="[veterinary_clinical_data].[Age].[All]" dimensionUniqueName="[veterinary_clinical_data]" displayFolder="" count="2"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2"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2" memberValueDatatype="130" unbalanced="0">
      <fieldsUsage count="2">
        <fieldUsage x="-1"/>
        <fieldUsage x="0"/>
      </fieldsUsage>
    </cacheHierarchy>
    <cacheHierarchy uniqueName="[veterinary_clinical_data].[Symptom]" caption="Symptom" attribute="1" defaultMemberUniqueName="[veterinary_clinical_data].[Symptom].[All]" allUniqueName="[veterinary_clinical_data].[Symptom].[All]" dimensionUniqueName="[veterinary_clinical_data]" displayFolder="" count="2" memberValueDatatype="130" unbalanced="0">
      <fieldsUsage count="2">
        <fieldUsage x="-1"/>
        <fieldUsage x="1"/>
      </fieldsUsage>
    </cacheHierarchy>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oneField="1">
      <fieldsUsage count="1">
        <fieldUsage x="2"/>
      </fieldsUsage>
    </cacheHierarchy>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dimensions count="2">
    <dimension measure="1" name="Measures" uniqueName="[Measures]" caption="Measures"/>
    <dimension name="veterinary_clinical_data" uniqueName="[veterinary_clinical_data]" caption="veterinary_clinical_data"/>
  </dimensions>
  <measureGroups count="1">
    <measureGroup name="veterinary_clinical_data" caption="veterinary_clinical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586339583337" backgroundQuery="1" createdVersion="8" refreshedVersion="8" minRefreshableVersion="3" recordCount="0" supportSubquery="1" supportAdvancedDrill="1" xr:uid="{28FA8382-3D0D-4DCF-A6D4-11800739B356}">
  <cacheSource type="external" connectionId="2"/>
  <cacheFields count="4">
    <cacheField name="[veterinary_clinical_data].[AnimalType].[AnimalType]" caption="AnimalType" numFmtId="0" hierarchy="1" level="1">
      <sharedItems count="2">
        <s v="cat"/>
        <s v="Dog"/>
      </sharedItems>
    </cacheField>
    <cacheField name="[veterinary_clinical_data].[Breed].[Breed]" caption="Breed" numFmtId="0" hierarchy="2" level="1">
      <sharedItems count="18">
        <s v="Beagle"/>
        <s v="Bengal"/>
        <s v="Boxer"/>
        <s v="British Shorthair"/>
        <s v="Bulldog"/>
        <s v="German Shepherd"/>
        <s v="Golden Retriever"/>
        <s v="Labrador Retriever"/>
        <s v="Maine Coon"/>
        <s v="Mixed Breed"/>
        <s v="Persian"/>
        <s v="Poodle"/>
        <s v="Ragdoll"/>
        <s v="Rottweiler"/>
        <s v="Scottish Fold"/>
        <s v="Siamese"/>
        <s v="Sphynx"/>
        <s v="Yorkshire Terrier"/>
      </sharedItems>
    </cacheField>
    <cacheField name="[Measures].[Number]" caption="Number" numFmtId="0" hierarchy="13" level="32767"/>
    <cacheField name="[veterinary_clinical_data].[MedicalHistory].[MedicalHistory]" caption="MedicalHistory" numFmtId="0" hierarchy="5" level="1">
      <sharedItems containsSemiMixedTypes="0" containsNonDate="0" containsString="0"/>
    </cacheField>
  </cacheFields>
  <cacheHierarchies count="16">
    <cacheHierarchy uniqueName="[veterinary_clinical_data].[ID]" caption="ID" attribute="1" defaultMemberUniqueName="[veterinary_clinical_data].[ID].[All]" allUniqueName="[veterinary_clinical_data].[ID].[All]" dimensionUniqueName="[veterinary_clinical_data]" displayFolder="" count="0"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2" memberValueDatatype="130" unbalanced="0">
      <fieldsUsage count="2">
        <fieldUsage x="-1"/>
        <fieldUsage x="0"/>
      </fieldsUsage>
    </cacheHierarchy>
    <cacheHierarchy uniqueName="[veterinary_clinical_data].[Breed]" caption="Breed" attribute="1" defaultMemberUniqueName="[veterinary_clinical_data].[Breed].[All]" allUniqueName="[veterinary_clinical_data].[Breed].[All]" dimensionUniqueName="[veterinary_clinical_data]" displayFolder="" count="2" memberValueDatatype="130" unbalanced="0">
      <fieldsUsage count="2">
        <fieldUsage x="-1"/>
        <fieldUsage x="1"/>
      </fieldsUsage>
    </cacheHierarchy>
    <cacheHierarchy uniqueName="[veterinary_clinical_data].[Age]" caption="Age" attribute="1" defaultMemberUniqueName="[veterinary_clinical_data].[Age].[All]" allUniqueName="[veterinary_clinical_data].[Age].[All]" dimensionUniqueName="[veterinary_clinical_data]" displayFolder="" count="0"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0"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2" memberValueDatatype="130" unbalanced="0">
      <fieldsUsage count="2">
        <fieldUsage x="-1"/>
        <fieldUsage x="3"/>
      </fieldsUsage>
    </cacheHierarchy>
    <cacheHierarchy uniqueName="[veterinary_clinical_data].[Symptom]" caption="Symptom" attribute="1" defaultMemberUniqueName="[veterinary_clinical_data].[Symptom].[All]" allUniqueName="[veterinary_clinical_data].[Symptom].[All]" dimensionUniqueName="[veterinary_clinical_data]" displayFolder="" count="0" memberValueDatatype="130" unbalanced="0"/>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oneField="1">
      <fieldsUsage count="1">
        <fieldUsage x="2"/>
      </fieldsUsage>
    </cacheHierarchy>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dimensions count="2">
    <dimension measure="1" name="Measures" uniqueName="[Measures]" caption="Measures"/>
    <dimension name="veterinary_clinical_data" uniqueName="[veterinary_clinical_data]" caption="veterinary_clinical_data"/>
  </dimensions>
  <measureGroups count="1">
    <measureGroup name="veterinary_clinical_data" caption="veterinary_clinical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586340046299" backgroundQuery="1" createdVersion="8" refreshedVersion="8" minRefreshableVersion="3" recordCount="0" supportSubquery="1" supportAdvancedDrill="1" xr:uid="{69C62186-2745-4B0B-9998-650D79A20965}">
  <cacheSource type="external" connectionId="2"/>
  <cacheFields count="2">
    <cacheField name="[Measures].[Number]" caption="Number" numFmtId="0" hierarchy="13" level="32767"/>
    <cacheField name="[veterinary_clinical_data].[MedicalHistory].[MedicalHistory]" caption="MedicalHistory" numFmtId="0" hierarchy="5" level="1">
      <sharedItems containsSemiMixedTypes="0" containsNonDate="0" containsString="0"/>
    </cacheField>
  </cacheFields>
  <cacheHierarchies count="16">
    <cacheHierarchy uniqueName="[veterinary_clinical_data].[ID]" caption="ID" attribute="1" defaultMemberUniqueName="[veterinary_clinical_data].[ID].[All]" allUniqueName="[veterinary_clinical_data].[ID].[All]" dimensionUniqueName="[veterinary_clinical_data]" displayFolder="" count="0"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2" memberValueDatatype="130" unbalanced="0"/>
    <cacheHierarchy uniqueName="[veterinary_clinical_data].[Breed]" caption="Breed" attribute="1" defaultMemberUniqueName="[veterinary_clinical_data].[Breed].[All]" allUniqueName="[veterinary_clinical_data].[Breed].[All]" dimensionUniqueName="[veterinary_clinical_data]" displayFolder="" count="2" memberValueDatatype="130" unbalanced="0"/>
    <cacheHierarchy uniqueName="[veterinary_clinical_data].[Age]" caption="Age" attribute="1" defaultMemberUniqueName="[veterinary_clinical_data].[Age].[All]" allUniqueName="[veterinary_clinical_data].[Age].[All]" dimensionUniqueName="[veterinary_clinical_data]" displayFolder="" count="0"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0"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2" memberValueDatatype="130" unbalanced="0">
      <fieldsUsage count="2">
        <fieldUsage x="-1"/>
        <fieldUsage x="1"/>
      </fieldsUsage>
    </cacheHierarchy>
    <cacheHierarchy uniqueName="[veterinary_clinical_data].[Symptom]" caption="Symptom" attribute="1" defaultMemberUniqueName="[veterinary_clinical_data].[Symptom].[All]" allUniqueName="[veterinary_clinical_data].[Symptom].[All]" dimensionUniqueName="[veterinary_clinical_data]" displayFolder="" count="0" memberValueDatatype="130" unbalanced="0"/>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oneField="1">
      <fieldsUsage count="1">
        <fieldUsage x="0"/>
      </fieldsUsage>
    </cacheHierarchy>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dimensions count="2">
    <dimension measure="1" name="Measures" uniqueName="[Measures]" caption="Measures"/>
    <dimension name="veterinary_clinical_data" uniqueName="[veterinary_clinical_data]" caption="veterinary_clinical_data"/>
  </dimensions>
  <measureGroups count="1">
    <measureGroup name="veterinary_clinical_data" caption="veterinary_clinical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586340624999" backgroundQuery="1" createdVersion="8" refreshedVersion="8" minRefreshableVersion="3" recordCount="0" supportSubquery="1" supportAdvancedDrill="1" xr:uid="{05217FF5-77EE-4902-B0EC-D53E136B7872}">
  <cacheSource type="external" connectionId="2"/>
  <cacheFields count="2">
    <cacheField name="[Measures].[Average of Age]" caption="Average of Age" numFmtId="0" hierarchy="11" level="32767"/>
    <cacheField name="[veterinary_clinical_data].[MedicalHistory].[MedicalHistory]" caption="MedicalHistory" numFmtId="0" hierarchy="5" level="1">
      <sharedItems containsSemiMixedTypes="0" containsNonDate="0" containsString="0"/>
    </cacheField>
  </cacheFields>
  <cacheHierarchies count="16">
    <cacheHierarchy uniqueName="[veterinary_clinical_data].[ID]" caption="ID" attribute="1" defaultMemberUniqueName="[veterinary_clinical_data].[ID].[All]" allUniqueName="[veterinary_clinical_data].[ID].[All]" dimensionUniqueName="[veterinary_clinical_data]" displayFolder="" count="0"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2" memberValueDatatype="130" unbalanced="0"/>
    <cacheHierarchy uniqueName="[veterinary_clinical_data].[Breed]" caption="Breed" attribute="1" defaultMemberUniqueName="[veterinary_clinical_data].[Breed].[All]" allUniqueName="[veterinary_clinical_data].[Breed].[All]" dimensionUniqueName="[veterinary_clinical_data]" displayFolder="" count="2" memberValueDatatype="130" unbalanced="0"/>
    <cacheHierarchy uniqueName="[veterinary_clinical_data].[Age]" caption="Age" attribute="1" defaultMemberUniqueName="[veterinary_clinical_data].[Age].[All]" allUniqueName="[veterinary_clinical_data].[Age].[All]" dimensionUniqueName="[veterinary_clinical_data]" displayFolder="" count="0"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0"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2" memberValueDatatype="130" unbalanced="0">
      <fieldsUsage count="2">
        <fieldUsage x="-1"/>
        <fieldUsage x="1"/>
      </fieldsUsage>
    </cacheHierarchy>
    <cacheHierarchy uniqueName="[veterinary_clinical_data].[Symptom]" caption="Symptom" attribute="1" defaultMemberUniqueName="[veterinary_clinical_data].[Symptom].[All]" allUniqueName="[veterinary_clinical_data].[Symptom].[All]" dimensionUniqueName="[veterinary_clinical_data]" displayFolder="" count="0" memberValueDatatype="130" unbalanced="0"/>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oneField="1">
      <fieldsUsage count="1">
        <fieldUsage x="0"/>
      </fieldsUsage>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dimensions count="2">
    <dimension measure="1" name="Measures" uniqueName="[Measures]" caption="Measures"/>
    <dimension name="veterinary_clinical_data" uniqueName="[veterinary_clinical_data]" caption="veterinary_clinical_data"/>
  </dimensions>
  <measureGroups count="1">
    <measureGroup name="veterinary_clinical_data" caption="veterinary_clinical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586341087961" backgroundQuery="1" createdVersion="8" refreshedVersion="8" minRefreshableVersion="3" recordCount="0" supportSubquery="1" supportAdvancedDrill="1" xr:uid="{A98D7DDC-B6E3-4234-9DA7-569B8AA2867F}">
  <cacheSource type="external" connectionId="2"/>
  <cacheFields count="2">
    <cacheField name="[Measures].[Average of Weight_kg]" caption="Average of Weight_kg" numFmtId="0" hierarchy="12" level="32767"/>
    <cacheField name="[veterinary_clinical_data].[MedicalHistory].[MedicalHistory]" caption="MedicalHistory" numFmtId="0" hierarchy="5" level="1">
      <sharedItems containsSemiMixedTypes="0" containsNonDate="0" containsString="0"/>
    </cacheField>
  </cacheFields>
  <cacheHierarchies count="16">
    <cacheHierarchy uniqueName="[veterinary_clinical_data].[ID]" caption="ID" attribute="1" defaultMemberUniqueName="[veterinary_clinical_data].[ID].[All]" allUniqueName="[veterinary_clinical_data].[ID].[All]" dimensionUniqueName="[veterinary_clinical_data]" displayFolder="" count="0"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2" memberValueDatatype="130" unbalanced="0"/>
    <cacheHierarchy uniqueName="[veterinary_clinical_data].[Breed]" caption="Breed" attribute="1" defaultMemberUniqueName="[veterinary_clinical_data].[Breed].[All]" allUniqueName="[veterinary_clinical_data].[Breed].[All]" dimensionUniqueName="[veterinary_clinical_data]" displayFolder="" count="2" memberValueDatatype="130" unbalanced="0"/>
    <cacheHierarchy uniqueName="[veterinary_clinical_data].[Age]" caption="Age" attribute="1" defaultMemberUniqueName="[veterinary_clinical_data].[Age].[All]" allUniqueName="[veterinary_clinical_data].[Age].[All]" dimensionUniqueName="[veterinary_clinical_data]" displayFolder="" count="0"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0"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2" memberValueDatatype="130" unbalanced="0">
      <fieldsUsage count="2">
        <fieldUsage x="-1"/>
        <fieldUsage x="1"/>
      </fieldsUsage>
    </cacheHierarchy>
    <cacheHierarchy uniqueName="[veterinary_clinical_data].[Symptom]" caption="Symptom" attribute="1" defaultMemberUniqueName="[veterinary_clinical_data].[Symptom].[All]" allUniqueName="[veterinary_clinical_data].[Symptom].[All]" dimensionUniqueName="[veterinary_clinical_data]" displayFolder="" count="0" memberValueDatatype="130" unbalanced="0"/>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oneField="1">
      <fieldsUsage count="1">
        <fieldUsage x="0"/>
      </fieldsUsage>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dimensions count="2">
    <dimension measure="1" name="Measures" uniqueName="[Measures]" caption="Measures"/>
    <dimension name="veterinary_clinical_data" uniqueName="[veterinary_clinical_data]" caption="veterinary_clinical_data"/>
  </dimensions>
  <measureGroups count="1">
    <measureGroup name="veterinary_clinical_data" caption="veterinary_clinical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485075231481" backgroundQuery="1" createdVersion="3" refreshedVersion="8" minRefreshableVersion="3" recordCount="0" supportSubquery="1" supportAdvancedDrill="1" xr:uid="{AA79D813-1D0F-4F86-8B3B-2FDF915B0B67}">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veterinary_clinical_data].[ID]" caption="ID" attribute="1" defaultMemberUniqueName="[veterinary_clinical_data].[ID].[All]" allUniqueName="[veterinary_clinical_data].[ID].[All]" dimensionUniqueName="[veterinary_clinical_data]" displayFolder="" count="0"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2" memberValueDatatype="130" unbalanced="0"/>
    <cacheHierarchy uniqueName="[veterinary_clinical_data].[Breed]" caption="Breed" attribute="1" defaultMemberUniqueName="[veterinary_clinical_data].[Breed].[All]" allUniqueName="[veterinary_clinical_data].[Breed].[All]" dimensionUniqueName="[veterinary_clinical_data]" displayFolder="" count="2" memberValueDatatype="130" unbalanced="0"/>
    <cacheHierarchy uniqueName="[veterinary_clinical_data].[Age]" caption="Age" attribute="1" defaultMemberUniqueName="[veterinary_clinical_data].[Age].[All]" allUniqueName="[veterinary_clinical_data].[Age].[All]" dimensionUniqueName="[veterinary_clinical_data]" displayFolder="" count="0"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0"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0" memberValueDatatype="130" unbalanced="0"/>
    <cacheHierarchy uniqueName="[veterinary_clinical_data].[Symptom]" caption="Symptom" attribute="1" defaultMemberUniqueName="[veterinary_clinical_data].[Symptom].[All]" allUniqueName="[veterinary_clinical_data].[Symptom].[All]" dimensionUniqueName="[veterinary_clinical_data]" displayFolder="" count="0" memberValueDatatype="130" unbalanced="0"/>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63922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489384722219" backgroundQuery="1" createdVersion="3" refreshedVersion="8" minRefreshableVersion="3" recordCount="0" supportSubquery="1" supportAdvancedDrill="1" xr:uid="{61AD5E68-F1D3-41D1-B6AD-C580A56D4342}">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veterinary_clinical_data].[ID]" caption="ID" attribute="1" defaultMemberUniqueName="[veterinary_clinical_data].[ID].[All]" allUniqueName="[veterinary_clinical_data].[ID].[All]" dimensionUniqueName="[veterinary_clinical_data]" displayFolder="" count="0" memberValueDatatype="20" unbalanced="0"/>
    <cacheHierarchy uniqueName="[veterinary_clinical_data].[AnimalType]" caption="AnimalType" attribute="1" defaultMemberUniqueName="[veterinary_clinical_data].[AnimalType].[All]" allUniqueName="[veterinary_clinical_data].[AnimalType].[All]" dimensionUniqueName="[veterinary_clinical_data]" displayFolder="" count="0" memberValueDatatype="130" unbalanced="0"/>
    <cacheHierarchy uniqueName="[veterinary_clinical_data].[Breed]" caption="Breed" attribute="1" defaultMemberUniqueName="[veterinary_clinical_data].[Breed].[All]" allUniqueName="[veterinary_clinical_data].[Breed].[All]" dimensionUniqueName="[veterinary_clinical_data]" displayFolder="" count="0" memberValueDatatype="130" unbalanced="0"/>
    <cacheHierarchy uniqueName="[veterinary_clinical_data].[Age]" caption="Age" attribute="1" defaultMemberUniqueName="[veterinary_clinical_data].[Age].[All]" allUniqueName="[veterinary_clinical_data].[Age].[All]" dimensionUniqueName="[veterinary_clinical_data]" displayFolder="" count="0" memberValueDatatype="5" unbalanced="0"/>
    <cacheHierarchy uniqueName="[veterinary_clinical_data].[Weight_kg]" caption="Weight_kg" attribute="1" defaultMemberUniqueName="[veterinary_clinical_data].[Weight_kg].[All]" allUniqueName="[veterinary_clinical_data].[Weight_kg].[All]" dimensionUniqueName="[veterinary_clinical_data]" displayFolder="" count="0" memberValueDatatype="5" unbalanced="0"/>
    <cacheHierarchy uniqueName="[veterinary_clinical_data].[MedicalHistory]" caption="MedicalHistory" attribute="1" defaultMemberUniqueName="[veterinary_clinical_data].[MedicalHistory].[All]" allUniqueName="[veterinary_clinical_data].[MedicalHistory].[All]" dimensionUniqueName="[veterinary_clinical_data]" displayFolder="" count="2" memberValueDatatype="130" unbalanced="0"/>
    <cacheHierarchy uniqueName="[veterinary_clinical_data].[Symptom]" caption="Symptom" attribute="1" defaultMemberUniqueName="[veterinary_clinical_data].[Symptom].[All]" allUniqueName="[veterinary_clinical_data].[Symptom].[All]" dimensionUniqueName="[veterinary_clinical_data]" displayFolder="" count="0" memberValueDatatype="130" unbalanced="0"/>
    <cacheHierarchy uniqueName="[Measures].[Sum of ID]" caption="Sum of ID" measure="1" displayFolder="" measureGroup="veterinary_clinical_data" count="0">
      <extLst>
        <ext xmlns:x15="http://schemas.microsoft.com/office/spreadsheetml/2010/11/main" uri="{B97F6D7D-B522-45F9-BDA1-12C45D357490}">
          <x15:cacheHierarchy aggregatedColumn="0"/>
        </ext>
      </extLst>
    </cacheHierarchy>
    <cacheHierarchy uniqueName="[Measures].[Count of ID]" caption="Count of ID" measure="1" displayFolder="" measureGroup="veterinary_clinical_data" count="0">
      <extLst>
        <ext xmlns:x15="http://schemas.microsoft.com/office/spreadsheetml/2010/11/main" uri="{B97F6D7D-B522-45F9-BDA1-12C45D357490}">
          <x15:cacheHierarchy aggregatedColumn="0"/>
        </ext>
      </extLst>
    </cacheHierarchy>
    <cacheHierarchy uniqueName="[Measures].[Sum of Age]" caption="Sum of Age" measure="1" displayFolder="" measureGroup="veterinary_clinical_data" count="0">
      <extLst>
        <ext xmlns:x15="http://schemas.microsoft.com/office/spreadsheetml/2010/11/main" uri="{B97F6D7D-B522-45F9-BDA1-12C45D357490}">
          <x15:cacheHierarchy aggregatedColumn="3"/>
        </ext>
      </extLst>
    </cacheHierarchy>
    <cacheHierarchy uniqueName="[Measures].[Sum of Weight_kg]" caption="Sum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Average of Age]" caption="Average of Age" measure="1" displayFolder="" measureGroup="veterinary_clinical_data" count="0">
      <extLst>
        <ext xmlns:x15="http://schemas.microsoft.com/office/spreadsheetml/2010/11/main" uri="{B97F6D7D-B522-45F9-BDA1-12C45D357490}">
          <x15:cacheHierarchy aggregatedColumn="3"/>
        </ext>
      </extLst>
    </cacheHierarchy>
    <cacheHierarchy uniqueName="[Measures].[Average of Weight_kg]" caption="Average of Weight_kg" measure="1" displayFolder="" measureGroup="veterinary_clinical_data" count="0">
      <extLst>
        <ext xmlns:x15="http://schemas.microsoft.com/office/spreadsheetml/2010/11/main" uri="{B97F6D7D-B522-45F9-BDA1-12C45D357490}">
          <x15:cacheHierarchy aggregatedColumn="4"/>
        </ext>
      </extLst>
    </cacheHierarchy>
    <cacheHierarchy uniqueName="[Measures].[Number]" caption="Number" measure="1" displayFolder="" measureGroup="veterinary_clinical_data" count="0"/>
    <cacheHierarchy uniqueName="[Measures].[__XL_Count veterinary_clinical_data]" caption="__XL_Count veterinary_clinical_data" measure="1" displayFolder="" measureGroup="veterinary_clinical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52849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009DC0-07D5-4CC8-A923-AF15B084242A}" name="PivotTable7" cacheId="4" applyNumberFormats="0" applyBorderFormats="0" applyFontFormats="0" applyPatternFormats="0" applyAlignmentFormats="0" applyWidthHeightFormats="1" dataCaption="Values" tag="2a58b5fc-86e4-4da7-94e3-40126b9fed7b" updatedVersion="8" minRefreshableVersion="3" useAutoFormatting="1" subtotalHiddenItems="1" itemPrintTitles="1" createdVersion="8" indent="0" outline="1" outlineData="1" multipleFieldFilters="0">
  <location ref="A59:A6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Weight_kg" fld="0" subtotal="average" baseField="0" baseItem="0" numFmtId="2"/>
  </dataFields>
  <pivotHierarchies count="16">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veterinary_clinical_data].[MedicalHistory].&amp;[Not vaccinat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terinary_clinic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5E4D9-2A7F-4A9C-9E68-7519B524F947}" name="PivotTable6" cacheId="3" applyNumberFormats="0" applyBorderFormats="0" applyFontFormats="0" applyPatternFormats="0" applyAlignmentFormats="0" applyWidthHeightFormats="1" dataCaption="Values" tag="fcf5cc32-0037-416b-a935-82a4dcfc8605" updatedVersion="8" minRefreshableVersion="3" useAutoFormatting="1" subtotalHiddenItems="1" itemPrintTitles="1" createdVersion="8" indent="0" outline="1" outlineData="1" multipleFieldFilters="0">
  <location ref="A54:A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2"/>
  </dataFields>
  <pivotHierarchies count="16">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veterinary_clinical_data].[MedicalHistory].&amp;[Not vaccinat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terinary_clinic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DB40E-3A07-42B2-958B-EA1EC1409DD0}" name="PivotTable5" cacheId="0" applyNumberFormats="0" applyBorderFormats="0" applyFontFormats="0" applyPatternFormats="0" applyAlignmentFormats="0" applyWidthHeightFormats="1" dataCaption="Values" tag="0539b7cb-6e8b-4ccd-baec-399e7616189e" updatedVersion="8" minRefreshableVersion="3" useAutoFormatting="1" subtotalHiddenItems="1" itemPrintTitles="1" createdVersion="8" indent="0" outline="1" outlineData="1" multipleFieldFilters="0" chartFormat="9">
  <location ref="A36:C48" firstHeaderRow="1" firstDataRow="2" firstDataCol="1"/>
  <pivotFields count="3">
    <pivotField axis="axisCol" allDrilled="1" subtotalTop="0" showAll="0" dataSourceSort="1" defaultSubtotal="0" defaultAttributeDrillState="1">
      <items count="11">
        <item s="1" x="0"/>
        <item x="1"/>
        <item x="2"/>
        <item x="3"/>
        <item x="4"/>
        <item x="5"/>
        <item x="6"/>
        <item x="7"/>
        <item x="8"/>
        <item x="9"/>
        <item x="1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3"/>
    </i>
    <i>
      <x v="2"/>
    </i>
    <i>
      <x v="9"/>
    </i>
    <i>
      <x/>
    </i>
    <i>
      <x v="5"/>
    </i>
    <i>
      <x v="4"/>
    </i>
    <i>
      <x v="8"/>
    </i>
    <i>
      <x v="7"/>
    </i>
    <i>
      <x v="1"/>
    </i>
    <i>
      <x v="6"/>
    </i>
    <i t="grand">
      <x/>
    </i>
  </rowItems>
  <colFields count="1">
    <field x="0"/>
  </colFields>
  <colItems count="2">
    <i>
      <x/>
    </i>
    <i t="grand">
      <x/>
    </i>
  </colItems>
  <dataFields count="1">
    <dataField fld="2" subtotal="count" baseField="0" baseItem="0"/>
  </dataFields>
  <chartFormats count="11">
    <chartFormat chart="3" format="22" series="1">
      <pivotArea type="data" outline="0" fieldPosition="0">
        <references count="2">
          <reference field="4294967294" count="1" selected="0">
            <x v="0"/>
          </reference>
          <reference field="0" count="1" selected="0">
            <x v="2"/>
          </reference>
        </references>
      </pivotArea>
    </chartFormat>
    <chartFormat chart="3" format="23" series="1">
      <pivotArea type="data" outline="0" fieldPosition="0">
        <references count="2">
          <reference field="4294967294" count="1" selected="0">
            <x v="0"/>
          </reference>
          <reference field="0" count="1" selected="0">
            <x v="3"/>
          </reference>
        </references>
      </pivotArea>
    </chartFormat>
    <chartFormat chart="3" format="24" series="1">
      <pivotArea type="data" outline="0" fieldPosition="0">
        <references count="2">
          <reference field="4294967294" count="1" selected="0">
            <x v="0"/>
          </reference>
          <reference field="0" count="1" selected="0">
            <x v="10"/>
          </reference>
        </references>
      </pivotArea>
    </chartFormat>
    <chartFormat chart="3" format="25" series="1">
      <pivotArea type="data" outline="0" fieldPosition="0">
        <references count="2">
          <reference field="4294967294" count="1" selected="0">
            <x v="0"/>
          </reference>
          <reference field="0" count="1" selected="0">
            <x v="9"/>
          </reference>
        </references>
      </pivotArea>
    </chartFormat>
    <chartFormat chart="3" format="26" series="1">
      <pivotArea type="data" outline="0" fieldPosition="0">
        <references count="2">
          <reference field="4294967294" count="1" selected="0">
            <x v="0"/>
          </reference>
          <reference field="0" count="1" selected="0">
            <x v="0"/>
          </reference>
        </references>
      </pivotArea>
    </chartFormat>
    <chartFormat chart="3" format="27" series="1">
      <pivotArea type="data" outline="0" fieldPosition="0">
        <references count="2">
          <reference field="4294967294" count="1" selected="0">
            <x v="0"/>
          </reference>
          <reference field="0" count="1" selected="0">
            <x v="1"/>
          </reference>
        </references>
      </pivotArea>
    </chartFormat>
    <chartFormat chart="3" format="28" series="1">
      <pivotArea type="data" outline="0" fieldPosition="0">
        <references count="2">
          <reference field="4294967294" count="1" selected="0">
            <x v="0"/>
          </reference>
          <reference field="0" count="1" selected="0">
            <x v="7"/>
          </reference>
        </references>
      </pivotArea>
    </chartFormat>
    <chartFormat chart="3" format="29" series="1">
      <pivotArea type="data" outline="0" fieldPosition="0">
        <references count="2">
          <reference field="4294967294" count="1" selected="0">
            <x v="0"/>
          </reference>
          <reference field="0" count="1" selected="0">
            <x v="8"/>
          </reference>
        </references>
      </pivotArea>
    </chartFormat>
    <chartFormat chart="3" format="30" series="1">
      <pivotArea type="data" outline="0" fieldPosition="0">
        <references count="2">
          <reference field="4294967294" count="1" selected="0">
            <x v="0"/>
          </reference>
          <reference field="0" count="1" selected="0">
            <x v="4"/>
          </reference>
        </references>
      </pivotArea>
    </chartFormat>
    <chartFormat chart="3" format="31" series="1">
      <pivotArea type="data" outline="0" fieldPosition="0">
        <references count="2">
          <reference field="4294967294" count="1" selected="0">
            <x v="0"/>
          </reference>
          <reference field="0" count="1" selected="0">
            <x v="6"/>
          </reference>
        </references>
      </pivotArea>
    </chartFormat>
    <chartFormat chart="3" format="32" series="1">
      <pivotArea type="data" outline="0" fieldPosition="0">
        <references count="2">
          <reference field="4294967294" count="1" selected="0">
            <x v="0"/>
          </reference>
          <reference field="0" count="1" selected="0">
            <x v="5"/>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13">
      <autoFilter ref="A1">
        <filterColumn colId="0">
          <top10 val="10" filterVal="10"/>
        </filterColumn>
      </autoFilter>
    </filter>
  </filters>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terinary_clinic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1D7ED-0AF9-492B-ADCB-D70199286D72}" name="PivotTable2" cacheId="2" applyNumberFormats="0" applyBorderFormats="0" applyFontFormats="0" applyPatternFormats="0" applyAlignmentFormats="0" applyWidthHeightFormats="1" dataCaption="Values" tag="05e06148-8e6e-4d40-bd13-91deac8471c2" updatedVersion="8" minRefreshableVersion="3" useAutoFormatting="1" subtotalHiddenItems="1" itemPrintTitles="1" createdVersion="8" indent="0" outline="1" outlineData="1" multipleFieldFilters="0">
  <location ref="A28:A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6">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veterinary_clinical_data].[MedicalHistory].&amp;[Not vaccinat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terinary_clinic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F45F9B-B152-413F-99D2-B63593C5E66E}" name="PivotTable1" cacheId="1" applyNumberFormats="0" applyBorderFormats="0" applyFontFormats="0" applyPatternFormats="0" applyAlignmentFormats="0" applyWidthHeightFormats="1" dataCaption="Values" tag="3a7d349d-50fc-4a9c-93f7-16f4ea45edc4" updatedVersion="8" minRefreshableVersion="3" subtotalHiddenItems="1" itemPrintTitles="1" createdVersion="8" indent="0" outline="1" outlineData="1" multipleFieldFilters="0" chartFormat="13">
  <location ref="A1:D2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Fields count="1">
    <field x="0"/>
  </colFields>
  <colItems count="3">
    <i>
      <x/>
    </i>
    <i>
      <x v="1"/>
    </i>
    <i t="grand">
      <x/>
    </i>
  </colItems>
  <dataFields count="1">
    <dataField fld="2" subtotal="count" baseField="0" baseItem="0"/>
  </dataFields>
  <chartFormats count="2">
    <chartFormat chart="12" format="29" series="1">
      <pivotArea type="data" outline="0" fieldPosition="0">
        <references count="2">
          <reference field="4294967294" count="1" selected="0">
            <x v="0"/>
          </reference>
          <reference field="0" count="1" selected="0">
            <x v="1"/>
          </reference>
        </references>
      </pivotArea>
    </chartFormat>
    <chartFormat chart="12" format="30" series="1">
      <pivotArea type="data" outline="0" fieldPosition="0">
        <references count="2">
          <reference field="4294967294" count="1" selected="0">
            <x v="0"/>
          </reference>
          <reference field="0" count="1" selected="0">
            <x v="0"/>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veterinary_clinical_data].[MedicalHistory].&amp;[Not vaccinate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terinary_clinical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imalType" xr10:uid="{4F2CE4B0-0FF0-471B-B497-5B9C8A94FCD2}" sourceName="[veterinary_clinical_data].[AnimalType]">
  <pivotTables>
    <pivotTable tabId="1" name="PivotTable1"/>
    <pivotTable tabId="1" name="PivotTable2"/>
    <pivotTable tabId="1" name="PivotTable5"/>
    <pivotTable tabId="1" name="PivotTable6"/>
    <pivotTable tabId="1" name="PivotTable7"/>
  </pivotTables>
  <data>
    <olap pivotCacheId="60639224">
      <levels count="2">
        <level uniqueName="[veterinary_clinical_data].[AnimalType].[(All)]" sourceCaption="(All)" count="0"/>
        <level uniqueName="[veterinary_clinical_data].[AnimalType].[AnimalType]" sourceCaption="AnimalType" count="2">
          <ranges>
            <range startItem="0">
              <i n="[veterinary_clinical_data].[AnimalType].&amp;[cat]" c="cat"/>
              <i n="[veterinary_clinical_data].[AnimalType].&amp;[Dog]" c="Dog"/>
            </range>
          </ranges>
        </level>
      </levels>
      <selections count="1">
        <selection n="[veterinary_clinical_data].[Animal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ed" xr10:uid="{99F036CC-0033-4AB1-9C57-A993F18179A7}" sourceName="[veterinary_clinical_data].[Breed]">
  <pivotTables>
    <pivotTable tabId="1" name="PivotTable1"/>
    <pivotTable tabId="1" name="PivotTable2"/>
    <pivotTable tabId="1" name="PivotTable5"/>
    <pivotTable tabId="1" name="PivotTable6"/>
    <pivotTable tabId="1" name="PivotTable7"/>
  </pivotTables>
  <data>
    <olap pivotCacheId="60639224">
      <levels count="2">
        <level uniqueName="[veterinary_clinical_data].[Breed].[(All)]" sourceCaption="(All)" count="0"/>
        <level uniqueName="[veterinary_clinical_data].[Breed].[Breed]" sourceCaption="Breed" count="18">
          <ranges>
            <range startItem="0">
              <i n="[veterinary_clinical_data].[Breed].&amp;[Beagle]" c="Beagle"/>
              <i n="[veterinary_clinical_data].[Breed].&amp;[Bengal]" c="Bengal"/>
              <i n="[veterinary_clinical_data].[Breed].&amp;[Boxer]" c="Boxer"/>
              <i n="[veterinary_clinical_data].[Breed].&amp;[British Shorthair]" c="British Shorthair"/>
              <i n="[veterinary_clinical_data].[Breed].&amp;[Bulldog]" c="Bulldog"/>
              <i n="[veterinary_clinical_data].[Breed].&amp;[German Shepherd]" c="German Shepherd"/>
              <i n="[veterinary_clinical_data].[Breed].&amp;[Golden Retriever]" c="Golden Retriever"/>
              <i n="[veterinary_clinical_data].[Breed].&amp;[Labrador Retriever]" c="Labrador Retriever"/>
              <i n="[veterinary_clinical_data].[Breed].&amp;[Maine Coon]" c="Maine Coon"/>
              <i n="[veterinary_clinical_data].[Breed].&amp;[Mixed Breed]" c="Mixed Breed"/>
              <i n="[veterinary_clinical_data].[Breed].&amp;[Persian]" c="Persian"/>
              <i n="[veterinary_clinical_data].[Breed].&amp;[Poodle]" c="Poodle"/>
              <i n="[veterinary_clinical_data].[Breed].&amp;[Ragdoll]" c="Ragdoll"/>
              <i n="[veterinary_clinical_data].[Breed].&amp;[Rottweiler]" c="Rottweiler"/>
              <i n="[veterinary_clinical_data].[Breed].&amp;[Scottish Fold]" c="Scottish Fold"/>
              <i n="[veterinary_clinical_data].[Breed].&amp;[Siamese]" c="Siamese"/>
              <i n="[veterinary_clinical_data].[Breed].&amp;[Sphynx]" c="Sphynx"/>
              <i n="[veterinary_clinical_data].[Breed].&amp;[Yorkshire Terrier]" c="Yorkshire Terrier"/>
            </range>
          </ranges>
        </level>
      </levels>
      <selections count="1">
        <selection n="[veterinary_clinical_data].[Bre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History" xr10:uid="{E4684D58-80C4-495D-9FCF-A9F78E08C624}" sourceName="[veterinary_clinical_data].[MedicalHistory]">
  <pivotTables>
    <pivotTable tabId="1" name="PivotTable5"/>
    <pivotTable tabId="1" name="PivotTable1"/>
    <pivotTable tabId="1" name="PivotTable2"/>
    <pivotTable tabId="1" name="PivotTable6"/>
    <pivotTable tabId="1" name="PivotTable7"/>
  </pivotTables>
  <data>
    <olap pivotCacheId="295284998">
      <levels count="2">
        <level uniqueName="[veterinary_clinical_data].[MedicalHistory].[(All)]" sourceCaption="(All)" count="0"/>
        <level uniqueName="[veterinary_clinical_data].[MedicalHistory].[MedicalHistory]" sourceCaption="MedicalHistory" count="11">
          <ranges>
            <range startItem="0">
              <i n="[veterinary_clinical_data].[MedicalHistory].&amp;[Allergies]" c="Allergies"/>
              <i n="[veterinary_clinical_data].[MedicalHistory].&amp;[Chronic illness]" c="Chronic illness"/>
              <i n="[veterinary_clinical_data].[MedicalHistory].&amp;[Dental issues]" c="Dental issues"/>
              <i n="[veterinary_clinical_data].[MedicalHistory].&amp;[No previous conditions]" c="No previous conditions"/>
              <i n="[veterinary_clinical_data].[MedicalHistory].&amp;[Not vaccinated]" c="Not vaccinated"/>
              <i n="[veterinary_clinical_data].[MedicalHistory].&amp;[Parasite history]" c="Parasite history"/>
              <i n="[veterinary_clinical_data].[MedicalHistory].&amp;[Previous heart condition]" c="Previous heart condition"/>
              <i n="[veterinary_clinical_data].[MedicalHistory].&amp;[Previous kidney disease]" c="Previous kidney disease"/>
              <i n="[veterinary_clinical_data].[MedicalHistory].&amp;[Recent surgery]" c="Recent surgery"/>
              <i n="[veterinary_clinical_data].[MedicalHistory].&amp;[Skin conditions history]" c="Skin conditions history"/>
              <i n="[veterinary_clinical_data].[MedicalHistory].&amp;[Vaccinated]" c="Vaccinated"/>
            </range>
          </ranges>
        </level>
      </levels>
      <selections count="1">
        <selection n="[veterinary_clinical_data].[MedicalHistory].&amp;[Not vaccinat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imalType" xr10:uid="{9C8506C7-ED92-464D-9D50-3B5A1AE625FF}" cache="Slicer_AnimalType" caption="AnimalType" level="1" style="SlicerStyleLight6 2" rowHeight="234950"/>
  <slicer name="Breed" xr10:uid="{2B6EA8AA-7660-49BD-9E9C-A3C6545F8B9A}" cache="Slicer_Breed" caption="Breed" columnCount="6" level="1" style="SlicerStyleLight6 2" rowHeight="234950"/>
  <slicer name="MedicalHistory" xr10:uid="{82A2F624-8E63-4B79-9772-0B4CF3405CEF}" cache="Slicer_MedicalHistory" caption="MedicalHistory" columnCount="4" level="1" style="SlicerStyleLight6 2" rowHeight="23495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F3F3F5"/>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opLeftCell="A39" zoomScale="88" workbookViewId="0">
      <selection activeCell="C55" sqref="C55"/>
    </sheetView>
  </sheetViews>
  <sheetFormatPr defaultRowHeight="14.4" x14ac:dyDescent="0.3"/>
  <cols>
    <col min="1" max="1" width="20.33203125" bestFit="1" customWidth="1"/>
    <col min="2" max="2" width="15.88671875" bestFit="1" customWidth="1"/>
    <col min="3" max="4" width="11.109375" bestFit="1" customWidth="1"/>
    <col min="5" max="5" width="21.21875" bestFit="1" customWidth="1"/>
    <col min="6" max="6" width="14.109375" bestFit="1" customWidth="1"/>
    <col min="7" max="7" width="14.5546875" bestFit="1" customWidth="1"/>
    <col min="8" max="8" width="22.6640625" bestFit="1" customWidth="1"/>
    <col min="9" max="9" width="21.6640625" bestFit="1" customWidth="1"/>
    <col min="10" max="10" width="13.88671875" bestFit="1" customWidth="1"/>
    <col min="11" max="11" width="21" bestFit="1" customWidth="1"/>
    <col min="12" max="12" width="10.33203125" bestFit="1" customWidth="1"/>
    <col min="13" max="13" width="11.109375" bestFit="1" customWidth="1"/>
    <col min="14" max="14" width="14" bestFit="1" customWidth="1"/>
    <col min="15" max="15" width="12.6640625" bestFit="1" customWidth="1"/>
    <col min="16" max="16" width="18" bestFit="1" customWidth="1"/>
    <col min="17" max="17" width="12" bestFit="1" customWidth="1"/>
    <col min="18" max="18" width="23.21875" bestFit="1" customWidth="1"/>
    <col min="19" max="19" width="9.88671875" bestFit="1" customWidth="1"/>
    <col min="20" max="20" width="11.77734375" bestFit="1" customWidth="1"/>
    <col min="21" max="21" width="15.5546875" bestFit="1" customWidth="1"/>
    <col min="22" max="22" width="21.5546875" bestFit="1" customWidth="1"/>
    <col min="23" max="23" width="8.6640625" bestFit="1" customWidth="1"/>
    <col min="24" max="24" width="13.6640625" bestFit="1" customWidth="1"/>
    <col min="25" max="25" width="12" bestFit="1" customWidth="1"/>
    <col min="26" max="26" width="15" bestFit="1" customWidth="1"/>
    <col min="27" max="27" width="8.44140625" bestFit="1" customWidth="1"/>
    <col min="28" max="28" width="12" bestFit="1" customWidth="1"/>
    <col min="29" max="29" width="7.44140625" bestFit="1" customWidth="1"/>
    <col min="30" max="30" width="18.88671875" bestFit="1" customWidth="1"/>
    <col min="31" max="31" width="17.44140625" bestFit="1" customWidth="1"/>
    <col min="32" max="32" width="15.33203125" bestFit="1" customWidth="1"/>
    <col min="33" max="33" width="11" bestFit="1" customWidth="1"/>
    <col min="34" max="34" width="8.44140625" bestFit="1" customWidth="1"/>
    <col min="35" max="35" width="15.88671875" bestFit="1" customWidth="1"/>
    <col min="36" max="36" width="12" bestFit="1" customWidth="1"/>
    <col min="37" max="37" width="8.21875" bestFit="1" customWidth="1"/>
    <col min="38" max="38" width="13.6640625" bestFit="1" customWidth="1"/>
    <col min="39" max="39" width="7.6640625" bestFit="1" customWidth="1"/>
    <col min="40" max="40" width="13.33203125" bestFit="1" customWidth="1"/>
    <col min="41" max="41" width="12" bestFit="1" customWidth="1"/>
    <col min="42" max="42" width="6.44140625" bestFit="1" customWidth="1"/>
    <col min="43" max="43" width="7.21875" bestFit="1" customWidth="1"/>
    <col min="44" max="44" width="16.77734375" bestFit="1" customWidth="1"/>
    <col min="45" max="45" width="14.77734375" bestFit="1" customWidth="1"/>
    <col min="46" max="46" width="9.109375" bestFit="1" customWidth="1"/>
    <col min="47" max="48" width="12" bestFit="1" customWidth="1"/>
    <col min="49" max="49" width="15.21875" bestFit="1" customWidth="1"/>
    <col min="50" max="51" width="12" bestFit="1" customWidth="1"/>
    <col min="52" max="52" width="15.44140625" bestFit="1" customWidth="1"/>
    <col min="53" max="53" width="16.21875" bestFit="1" customWidth="1"/>
    <col min="54" max="54" width="7" bestFit="1" customWidth="1"/>
    <col min="55" max="55" width="16.21875" bestFit="1" customWidth="1"/>
    <col min="56" max="56" width="12" bestFit="1" customWidth="1"/>
    <col min="57" max="57" width="10" bestFit="1" customWidth="1"/>
    <col min="58" max="58" width="33.21875" bestFit="1" customWidth="1"/>
    <col min="59" max="59" width="20.6640625" bestFit="1" customWidth="1"/>
    <col min="60" max="60" width="20.109375" bestFit="1" customWidth="1"/>
    <col min="61" max="61" width="21.44140625" bestFit="1" customWidth="1"/>
    <col min="62" max="62" width="15.44140625" bestFit="1" customWidth="1"/>
    <col min="63" max="63" width="12" bestFit="1" customWidth="1"/>
    <col min="64" max="64" width="6.109375" bestFit="1" customWidth="1"/>
    <col min="65" max="65" width="10.44140625" bestFit="1" customWidth="1"/>
    <col min="66" max="66" width="16.6640625" bestFit="1" customWidth="1"/>
    <col min="67" max="67" width="12.6640625" bestFit="1" customWidth="1"/>
    <col min="68" max="68" width="12.44140625" bestFit="1" customWidth="1"/>
    <col min="69" max="69" width="12.6640625" bestFit="1" customWidth="1"/>
    <col min="70" max="70" width="13.44140625" bestFit="1" customWidth="1"/>
    <col min="71" max="71" width="12" bestFit="1" customWidth="1"/>
    <col min="72" max="72" width="6.88671875" bestFit="1" customWidth="1"/>
    <col min="73" max="73" width="15" bestFit="1" customWidth="1"/>
    <col min="74" max="74" width="14.5546875" bestFit="1" customWidth="1"/>
    <col min="75" max="75" width="15.44140625" bestFit="1" customWidth="1"/>
    <col min="76" max="76" width="11.88671875" bestFit="1" customWidth="1"/>
    <col min="77" max="77" width="14" bestFit="1" customWidth="1"/>
    <col min="78" max="78" width="15.5546875" bestFit="1" customWidth="1"/>
    <col min="79" max="79" width="11.88671875" bestFit="1" customWidth="1"/>
    <col min="80" max="80" width="12.44140625" bestFit="1" customWidth="1"/>
    <col min="81" max="81" width="14" bestFit="1" customWidth="1"/>
    <col min="82" max="82" width="8.109375" bestFit="1" customWidth="1"/>
    <col min="83" max="83" width="10.44140625" bestFit="1" customWidth="1"/>
    <col min="84" max="84" width="18" bestFit="1" customWidth="1"/>
    <col min="85" max="85" width="11.33203125" bestFit="1" customWidth="1"/>
    <col min="86" max="86" width="12" bestFit="1" customWidth="1"/>
    <col min="87" max="87" width="9.44140625" bestFit="1" customWidth="1"/>
    <col min="88" max="88" width="15.109375" bestFit="1" customWidth="1"/>
    <col min="89" max="89" width="19.21875" bestFit="1" customWidth="1"/>
    <col min="90" max="90" width="22.5546875" bestFit="1" customWidth="1"/>
    <col min="91" max="91" width="18.5546875" bestFit="1" customWidth="1"/>
    <col min="92" max="92" width="12" bestFit="1" customWidth="1"/>
    <col min="93" max="93" width="20.5546875" bestFit="1" customWidth="1"/>
    <col min="94" max="94" width="12.88671875" bestFit="1" customWidth="1"/>
    <col min="95" max="95" width="13.21875" bestFit="1" customWidth="1"/>
    <col min="96" max="96" width="27.33203125" bestFit="1" customWidth="1"/>
    <col min="97" max="97" width="12" bestFit="1" customWidth="1"/>
    <col min="98" max="98" width="23.77734375" bestFit="1" customWidth="1"/>
    <col min="99" max="99" width="9.77734375" bestFit="1" customWidth="1"/>
    <col min="100" max="100" width="8" bestFit="1" customWidth="1"/>
    <col min="101" max="101" width="5.33203125" bestFit="1" customWidth="1"/>
    <col min="102" max="102" width="7.77734375" bestFit="1" customWidth="1"/>
    <col min="103" max="103" width="21.33203125" bestFit="1" customWidth="1"/>
    <col min="104" max="104" width="7.109375" bestFit="1" customWidth="1"/>
    <col min="105" max="105" width="14.6640625" bestFit="1" customWidth="1"/>
    <col min="106" max="106" width="13.6640625" bestFit="1" customWidth="1"/>
    <col min="107" max="107" width="10.77734375" bestFit="1" customWidth="1"/>
    <col min="108" max="108" width="14.33203125" bestFit="1" customWidth="1"/>
    <col min="109" max="109" width="14.88671875" bestFit="1" customWidth="1"/>
    <col min="110" max="110" width="6" bestFit="1" customWidth="1"/>
    <col min="111" max="111" width="9.33203125" bestFit="1" customWidth="1"/>
    <col min="112" max="112" width="12" bestFit="1" customWidth="1"/>
    <col min="113" max="113" width="11.109375" bestFit="1" customWidth="1"/>
    <col min="114" max="114" width="17.44140625" bestFit="1" customWidth="1"/>
    <col min="115" max="115" width="14.6640625" bestFit="1" customWidth="1"/>
    <col min="116" max="116" width="12" bestFit="1" customWidth="1"/>
    <col min="117" max="117" width="22.88671875" bestFit="1" customWidth="1"/>
    <col min="118" max="118" width="12" bestFit="1" customWidth="1"/>
    <col min="119" max="119" width="16.6640625" bestFit="1" customWidth="1"/>
    <col min="120" max="120" width="7" bestFit="1" customWidth="1"/>
    <col min="121" max="123" width="12" bestFit="1" customWidth="1"/>
    <col min="124" max="124" width="7.33203125" bestFit="1" customWidth="1"/>
    <col min="125" max="125" width="17.33203125" bestFit="1" customWidth="1"/>
    <col min="126" max="126" width="37.44140625" bestFit="1" customWidth="1"/>
    <col min="127" max="127" width="17.88671875" bestFit="1" customWidth="1"/>
    <col min="128" max="128" width="18.21875" bestFit="1" customWidth="1"/>
    <col min="129" max="129" width="16.109375" bestFit="1" customWidth="1"/>
    <col min="130" max="130" width="12.88671875" bestFit="1" customWidth="1"/>
    <col min="131" max="132" width="12" bestFit="1" customWidth="1"/>
    <col min="133" max="133" width="12.88671875" bestFit="1" customWidth="1"/>
    <col min="134" max="134" width="16.109375" bestFit="1" customWidth="1"/>
    <col min="135" max="135" width="24.6640625" bestFit="1" customWidth="1"/>
    <col min="136" max="136" width="17.33203125" bestFit="1" customWidth="1"/>
    <col min="137" max="137" width="15.21875" bestFit="1" customWidth="1"/>
    <col min="138" max="138" width="23.44140625" bestFit="1" customWidth="1"/>
    <col min="139" max="139" width="13.77734375" bestFit="1" customWidth="1"/>
    <col min="140" max="140" width="24.21875" bestFit="1" customWidth="1"/>
    <col min="141" max="141" width="22.21875" bestFit="1" customWidth="1"/>
    <col min="142" max="142" width="20.77734375" bestFit="1" customWidth="1"/>
    <col min="143" max="143" width="12" bestFit="1" customWidth="1"/>
    <col min="144" max="144" width="9" bestFit="1" customWidth="1"/>
    <col min="145" max="145" width="10.21875" bestFit="1" customWidth="1"/>
    <col min="146" max="146" width="11" bestFit="1" customWidth="1"/>
    <col min="147" max="147" width="19.21875" bestFit="1" customWidth="1"/>
    <col min="148" max="148" width="12" bestFit="1" customWidth="1"/>
    <col min="149" max="149" width="16.77734375" bestFit="1" customWidth="1"/>
    <col min="150" max="150" width="19.21875" bestFit="1" customWidth="1"/>
    <col min="151" max="151" width="16.5546875" bestFit="1" customWidth="1"/>
    <col min="152" max="152" width="20" bestFit="1" customWidth="1"/>
    <col min="153" max="153" width="17.33203125" bestFit="1" customWidth="1"/>
    <col min="154" max="154" width="16" bestFit="1" customWidth="1"/>
    <col min="155" max="155" width="16.77734375" bestFit="1" customWidth="1"/>
    <col min="156" max="156" width="19.33203125" bestFit="1" customWidth="1"/>
    <col min="157" max="157" width="17.5546875" bestFit="1" customWidth="1"/>
    <col min="158" max="158" width="15.5546875" bestFit="1" customWidth="1"/>
    <col min="159" max="159" width="20.6640625" bestFit="1" customWidth="1"/>
    <col min="160" max="160" width="15.33203125" bestFit="1" customWidth="1"/>
    <col min="161" max="161" width="17.6640625" bestFit="1" customWidth="1"/>
    <col min="162" max="162" width="24.88671875" bestFit="1" customWidth="1"/>
    <col min="163" max="163" width="18.33203125" bestFit="1" customWidth="1"/>
    <col min="164" max="164" width="15.5546875" bestFit="1" customWidth="1"/>
    <col min="165" max="165" width="14.77734375" bestFit="1" customWidth="1"/>
    <col min="166" max="166" width="17.33203125" bestFit="1" customWidth="1"/>
    <col min="167" max="167" width="6.77734375" bestFit="1" customWidth="1"/>
    <col min="168" max="168" width="19.6640625" bestFit="1" customWidth="1"/>
    <col min="169" max="169" width="12" bestFit="1" customWidth="1"/>
    <col min="170" max="170" width="6" bestFit="1" customWidth="1"/>
    <col min="171" max="171" width="12" bestFit="1" customWidth="1"/>
    <col min="172" max="172" width="16.88671875" bestFit="1" customWidth="1"/>
    <col min="173" max="173" width="17.33203125" bestFit="1" customWidth="1"/>
    <col min="174" max="174" width="18.33203125" bestFit="1" customWidth="1"/>
    <col min="175" max="175" width="12" bestFit="1" customWidth="1"/>
    <col min="176" max="176" width="14.44140625" bestFit="1" customWidth="1"/>
    <col min="177" max="177" width="17.33203125" bestFit="1" customWidth="1"/>
    <col min="178" max="178" width="16" bestFit="1" customWidth="1"/>
    <col min="179" max="179" width="7.33203125" bestFit="1" customWidth="1"/>
    <col min="180" max="180" width="7.5546875" bestFit="1" customWidth="1"/>
    <col min="181" max="181" width="8.33203125" bestFit="1" customWidth="1"/>
    <col min="182" max="182" width="19" bestFit="1" customWidth="1"/>
    <col min="183" max="183" width="16" bestFit="1" customWidth="1"/>
    <col min="184" max="184" width="12" bestFit="1" customWidth="1"/>
    <col min="185" max="185" width="10.21875" bestFit="1" customWidth="1"/>
    <col min="186" max="186" width="12.6640625" bestFit="1" customWidth="1"/>
    <col min="187" max="187" width="14.109375" bestFit="1" customWidth="1"/>
    <col min="188" max="188" width="12.33203125" bestFit="1" customWidth="1"/>
    <col min="189" max="189" width="21.33203125" bestFit="1" customWidth="1"/>
    <col min="190" max="190" width="6.44140625" bestFit="1" customWidth="1"/>
    <col min="191" max="191" width="13.44140625" bestFit="1" customWidth="1"/>
    <col min="192" max="192" width="16.109375" bestFit="1" customWidth="1"/>
    <col min="193" max="193" width="9.109375" bestFit="1" customWidth="1"/>
    <col min="194" max="194" width="12" bestFit="1" customWidth="1"/>
    <col min="195" max="195" width="4.21875" bestFit="1" customWidth="1"/>
    <col min="196" max="199" width="12" bestFit="1" customWidth="1"/>
    <col min="200" max="200" width="17.5546875" bestFit="1" customWidth="1"/>
    <col min="201" max="201" width="10.44140625" bestFit="1" customWidth="1"/>
    <col min="202" max="202" width="14.109375" bestFit="1" customWidth="1"/>
    <col min="203" max="203" width="22.77734375" bestFit="1" customWidth="1"/>
    <col min="204" max="204" width="18.88671875" bestFit="1" customWidth="1"/>
    <col min="205" max="205" width="12" bestFit="1" customWidth="1"/>
    <col min="206" max="206" width="11" bestFit="1" customWidth="1"/>
    <col min="207" max="207" width="19.88671875" bestFit="1" customWidth="1"/>
    <col min="208" max="208" width="29.77734375" bestFit="1" customWidth="1"/>
    <col min="209" max="209" width="15.5546875" bestFit="1" customWidth="1"/>
    <col min="210" max="210" width="19.6640625" bestFit="1" customWidth="1"/>
    <col min="211" max="211" width="7.77734375" bestFit="1" customWidth="1"/>
    <col min="212" max="212" width="8.109375" bestFit="1" customWidth="1"/>
    <col min="213" max="213" width="9.109375" bestFit="1" customWidth="1"/>
    <col min="214" max="214" width="15.21875" bestFit="1" customWidth="1"/>
    <col min="215" max="215" width="13.21875" bestFit="1" customWidth="1"/>
    <col min="216" max="216" width="14.88671875" bestFit="1" customWidth="1"/>
    <col min="217" max="218" width="17.88671875" bestFit="1" customWidth="1"/>
    <col min="219" max="219" width="16.33203125" bestFit="1" customWidth="1"/>
    <col min="220" max="220" width="20.21875" bestFit="1" customWidth="1"/>
    <col min="221" max="221" width="18.77734375" bestFit="1" customWidth="1"/>
    <col min="222" max="222" width="12" bestFit="1" customWidth="1"/>
    <col min="223" max="223" width="16.33203125" bestFit="1" customWidth="1"/>
    <col min="224" max="224" width="10.21875" bestFit="1" customWidth="1"/>
    <col min="225" max="225" width="27.5546875" bestFit="1" customWidth="1"/>
    <col min="226" max="226" width="16.21875" bestFit="1" customWidth="1"/>
    <col min="227" max="227" width="15.88671875" bestFit="1" customWidth="1"/>
    <col min="228" max="228" width="12.6640625" bestFit="1" customWidth="1"/>
    <col min="229" max="229" width="18.44140625" bestFit="1" customWidth="1"/>
    <col min="230" max="230" width="14.88671875" bestFit="1" customWidth="1"/>
    <col min="231" max="231" width="9.77734375" bestFit="1" customWidth="1"/>
    <col min="232" max="232" width="13.33203125" bestFit="1" customWidth="1"/>
    <col min="233" max="233" width="11.5546875" bestFit="1" customWidth="1"/>
    <col min="234" max="234" width="14.5546875" bestFit="1" customWidth="1"/>
    <col min="235" max="235" width="12" bestFit="1" customWidth="1"/>
    <col min="236" max="236" width="11.109375" bestFit="1" customWidth="1"/>
    <col min="237" max="237" width="12.21875" bestFit="1" customWidth="1"/>
    <col min="238" max="238" width="12" bestFit="1" customWidth="1"/>
    <col min="239" max="239" width="20.44140625" bestFit="1" customWidth="1"/>
    <col min="240" max="240" width="13.44140625" bestFit="1" customWidth="1"/>
    <col min="241" max="241" width="13.109375" bestFit="1" customWidth="1"/>
    <col min="242" max="242" width="13.21875" bestFit="1" customWidth="1"/>
    <col min="243" max="243" width="26.109375" bestFit="1" customWidth="1"/>
    <col min="244" max="244" width="12.88671875" bestFit="1" customWidth="1"/>
    <col min="245" max="245" width="7.109375" bestFit="1" customWidth="1"/>
    <col min="246" max="246" width="7.21875" bestFit="1" customWidth="1"/>
    <col min="247" max="247" width="9.77734375" bestFit="1" customWidth="1"/>
    <col min="248" max="248" width="12" bestFit="1" customWidth="1"/>
    <col min="249" max="249" width="15" bestFit="1" customWidth="1"/>
    <col min="250" max="250" width="14.44140625" bestFit="1" customWidth="1"/>
    <col min="251" max="251" width="21" bestFit="1" customWidth="1"/>
    <col min="252" max="252" width="12" bestFit="1" customWidth="1"/>
    <col min="253" max="253" width="4.6640625" bestFit="1" customWidth="1"/>
    <col min="254" max="254" width="6.5546875" bestFit="1" customWidth="1"/>
    <col min="255" max="255" width="5.33203125" bestFit="1" customWidth="1"/>
    <col min="256" max="256" width="5.44140625" bestFit="1" customWidth="1"/>
    <col min="257" max="257" width="12" bestFit="1" customWidth="1"/>
    <col min="258" max="258" width="17.44140625" bestFit="1" customWidth="1"/>
    <col min="259" max="259" width="14.6640625" bestFit="1" customWidth="1"/>
    <col min="260" max="260" width="13.109375" bestFit="1" customWidth="1"/>
    <col min="261" max="261" width="13.77734375" bestFit="1" customWidth="1"/>
    <col min="262" max="262" width="14.109375" bestFit="1" customWidth="1"/>
    <col min="263" max="263" width="29" bestFit="1" customWidth="1"/>
    <col min="264" max="264" width="15.5546875" bestFit="1" customWidth="1"/>
    <col min="265" max="265" width="10.5546875" bestFit="1" customWidth="1"/>
    <col min="266" max="266" width="8.21875" bestFit="1" customWidth="1"/>
    <col min="267" max="267" width="18.88671875" bestFit="1" customWidth="1"/>
    <col min="268" max="268" width="12" bestFit="1" customWidth="1"/>
    <col min="269" max="269" width="10.5546875" bestFit="1" customWidth="1"/>
    <col min="270" max="270" width="12.109375" bestFit="1" customWidth="1"/>
    <col min="271" max="271" width="17.21875" bestFit="1" customWidth="1"/>
    <col min="272" max="272" width="21" bestFit="1" customWidth="1"/>
    <col min="273" max="273" width="16" bestFit="1" customWidth="1"/>
    <col min="274" max="274" width="7.77734375" bestFit="1" customWidth="1"/>
    <col min="275" max="275" width="12" bestFit="1" customWidth="1"/>
    <col min="276" max="276" width="13.6640625" bestFit="1" customWidth="1"/>
    <col min="277" max="278" width="12" bestFit="1" customWidth="1"/>
    <col min="279" max="279" width="12.88671875" bestFit="1" customWidth="1"/>
    <col min="280" max="280" width="16.44140625" bestFit="1" customWidth="1"/>
    <col min="281" max="281" width="12" bestFit="1" customWidth="1"/>
    <col min="282" max="283" width="14.33203125" bestFit="1" customWidth="1"/>
    <col min="284" max="284" width="15.88671875" bestFit="1" customWidth="1"/>
    <col min="285" max="285" width="28.109375" bestFit="1" customWidth="1"/>
    <col min="286" max="286" width="15.33203125" bestFit="1" customWidth="1"/>
    <col min="287" max="287" width="13.109375" bestFit="1" customWidth="1"/>
    <col min="288" max="288" width="15.21875" bestFit="1" customWidth="1"/>
    <col min="289" max="289" width="8.33203125" bestFit="1" customWidth="1"/>
    <col min="290" max="290" width="5.77734375" bestFit="1" customWidth="1"/>
    <col min="291" max="291" width="13.5546875" bestFit="1" customWidth="1"/>
    <col min="292" max="292" width="12.33203125" bestFit="1" customWidth="1"/>
    <col min="293" max="293" width="7.88671875" bestFit="1" customWidth="1"/>
    <col min="294" max="294" width="11.77734375" bestFit="1" customWidth="1"/>
    <col min="295" max="295" width="13.88671875" bestFit="1" customWidth="1"/>
    <col min="296" max="296" width="7.88671875" bestFit="1" customWidth="1"/>
    <col min="297" max="297" width="12" bestFit="1" customWidth="1"/>
    <col min="298" max="298" width="12.6640625" bestFit="1" customWidth="1"/>
    <col min="299" max="299" width="11.44140625" bestFit="1" customWidth="1"/>
    <col min="300" max="300" width="12" bestFit="1" customWidth="1"/>
    <col min="301" max="301" width="11.6640625" bestFit="1" customWidth="1"/>
    <col min="302" max="302" width="12" bestFit="1" customWidth="1"/>
    <col min="303" max="303" width="5" bestFit="1" customWidth="1"/>
    <col min="304" max="304" width="14.88671875" bestFit="1" customWidth="1"/>
    <col min="305" max="305" width="14.21875" bestFit="1" customWidth="1"/>
    <col min="306" max="306" width="9.77734375" bestFit="1" customWidth="1"/>
    <col min="307" max="307" width="16.21875" bestFit="1" customWidth="1"/>
    <col min="308" max="308" width="12" bestFit="1" customWidth="1"/>
    <col min="309" max="309" width="13.21875" bestFit="1" customWidth="1"/>
    <col min="310" max="310" width="8.33203125" bestFit="1" customWidth="1"/>
    <col min="311" max="311" width="20.6640625" bestFit="1" customWidth="1"/>
    <col min="312" max="312" width="20" bestFit="1" customWidth="1"/>
    <col min="313" max="313" width="14" bestFit="1" customWidth="1"/>
    <col min="314" max="314" width="15.77734375" bestFit="1" customWidth="1"/>
    <col min="315" max="315" width="15.33203125" bestFit="1" customWidth="1"/>
    <col min="316" max="316" width="9.5546875" bestFit="1" customWidth="1"/>
    <col min="317" max="317" width="25.44140625" bestFit="1" customWidth="1"/>
    <col min="318" max="318" width="12.5546875" bestFit="1" customWidth="1"/>
    <col min="319" max="319" width="12" bestFit="1" customWidth="1"/>
    <col min="320" max="320" width="14.88671875" bestFit="1" customWidth="1"/>
    <col min="321" max="321" width="12.6640625" bestFit="1" customWidth="1"/>
    <col min="322" max="322" width="12.77734375" bestFit="1" customWidth="1"/>
    <col min="323" max="323" width="15.109375" bestFit="1" customWidth="1"/>
    <col min="324" max="324" width="15.5546875" bestFit="1" customWidth="1"/>
    <col min="325" max="325" width="24.77734375" bestFit="1" customWidth="1"/>
    <col min="326" max="326" width="24.5546875" bestFit="1" customWidth="1"/>
    <col min="327" max="327" width="15.5546875" bestFit="1" customWidth="1"/>
    <col min="328" max="328" width="12.44140625" bestFit="1" customWidth="1"/>
    <col min="329" max="329" width="15" bestFit="1" customWidth="1"/>
    <col min="330" max="330" width="15.21875" bestFit="1" customWidth="1"/>
    <col min="331" max="331" width="12.6640625" bestFit="1" customWidth="1"/>
    <col min="332" max="332" width="11.44140625" bestFit="1" customWidth="1"/>
    <col min="333" max="333" width="13.5546875" bestFit="1" customWidth="1"/>
    <col min="334" max="334" width="19.88671875" bestFit="1" customWidth="1"/>
    <col min="335" max="335" width="12" bestFit="1" customWidth="1"/>
    <col min="336" max="336" width="13.88671875" bestFit="1" customWidth="1"/>
    <col min="337" max="337" width="8.5546875" bestFit="1" customWidth="1"/>
    <col min="338" max="338" width="15" bestFit="1" customWidth="1"/>
    <col min="339" max="339" width="12.44140625" bestFit="1" customWidth="1"/>
    <col min="340" max="340" width="13.77734375" bestFit="1" customWidth="1"/>
    <col min="341" max="341" width="18.44140625" bestFit="1" customWidth="1"/>
    <col min="342" max="342" width="11.109375" bestFit="1" customWidth="1"/>
    <col min="343" max="343" width="8.33203125" bestFit="1" customWidth="1"/>
    <col min="344" max="344" width="17.5546875" bestFit="1" customWidth="1"/>
    <col min="345" max="345" width="6" bestFit="1" customWidth="1"/>
    <col min="346" max="346" width="12" bestFit="1" customWidth="1"/>
    <col min="347" max="347" width="6.77734375" bestFit="1" customWidth="1"/>
    <col min="348" max="348" width="12" bestFit="1" customWidth="1"/>
    <col min="349" max="349" width="13.5546875" bestFit="1" customWidth="1"/>
    <col min="350" max="350" width="20.109375" bestFit="1" customWidth="1"/>
    <col min="351" max="351" width="9.109375" bestFit="1" customWidth="1"/>
    <col min="352" max="352" width="4.44140625" bestFit="1" customWidth="1"/>
    <col min="353" max="353" width="7" bestFit="1" customWidth="1"/>
    <col min="354" max="354" width="16.88671875" bestFit="1" customWidth="1"/>
    <col min="355" max="355" width="12.77734375" bestFit="1" customWidth="1"/>
    <col min="356" max="356" width="12.5546875" bestFit="1" customWidth="1"/>
    <col min="357" max="357" width="16.5546875" bestFit="1" customWidth="1"/>
    <col min="358" max="358" width="14.109375" bestFit="1" customWidth="1"/>
    <col min="359" max="359" width="18.44140625" bestFit="1" customWidth="1"/>
    <col min="360" max="360" width="12.109375" bestFit="1" customWidth="1"/>
    <col min="361" max="361" width="19" bestFit="1" customWidth="1"/>
    <col min="362" max="362" width="18" bestFit="1" customWidth="1"/>
    <col min="363" max="363" width="14" bestFit="1" customWidth="1"/>
    <col min="364" max="364" width="10.88671875" bestFit="1" customWidth="1"/>
    <col min="365" max="365" width="6" bestFit="1" customWidth="1"/>
    <col min="366" max="366" width="12" bestFit="1" customWidth="1"/>
    <col min="367" max="367" width="21.44140625" bestFit="1" customWidth="1"/>
    <col min="368" max="368" width="6.5546875" bestFit="1" customWidth="1"/>
    <col min="369" max="369" width="7.88671875" bestFit="1" customWidth="1"/>
    <col min="370" max="370" width="7.5546875" bestFit="1" customWidth="1"/>
    <col min="371" max="371" width="12.88671875" bestFit="1" customWidth="1"/>
    <col min="372" max="372" width="6.33203125" bestFit="1" customWidth="1"/>
    <col min="373" max="373" width="12" bestFit="1" customWidth="1"/>
    <col min="374" max="374" width="22.88671875" bestFit="1" customWidth="1"/>
    <col min="375" max="375" width="12.88671875" bestFit="1" customWidth="1"/>
    <col min="376" max="376" width="14.33203125" bestFit="1" customWidth="1"/>
    <col min="377" max="377" width="7.5546875" bestFit="1" customWidth="1"/>
    <col min="378" max="378" width="17.88671875" bestFit="1" customWidth="1"/>
    <col min="379" max="379" width="16.6640625" bestFit="1" customWidth="1"/>
    <col min="380" max="380" width="16.88671875" bestFit="1" customWidth="1"/>
    <col min="381" max="381" width="12" bestFit="1" customWidth="1"/>
    <col min="382" max="382" width="15.6640625" bestFit="1" customWidth="1"/>
    <col min="383" max="383" width="5.109375" bestFit="1" customWidth="1"/>
    <col min="384" max="384" width="12" bestFit="1" customWidth="1"/>
    <col min="385" max="385" width="4" bestFit="1" customWidth="1"/>
    <col min="386" max="386" width="14.44140625" bestFit="1" customWidth="1"/>
    <col min="387" max="388" width="12" bestFit="1" customWidth="1"/>
    <col min="389" max="389" width="11.5546875" bestFit="1" customWidth="1"/>
    <col min="390" max="390" width="12" bestFit="1" customWidth="1"/>
    <col min="391" max="391" width="21.109375" bestFit="1" customWidth="1"/>
    <col min="392" max="392" width="12.21875" bestFit="1" customWidth="1"/>
    <col min="393" max="394" width="14.77734375" bestFit="1" customWidth="1"/>
    <col min="395" max="395" width="13.44140625" bestFit="1" customWidth="1"/>
    <col min="396" max="396" width="14.33203125" bestFit="1" customWidth="1"/>
    <col min="397" max="397" width="13.88671875" bestFit="1" customWidth="1"/>
    <col min="398" max="398" width="15" bestFit="1" customWidth="1"/>
    <col min="399" max="399" width="12" bestFit="1" customWidth="1"/>
    <col min="400" max="400" width="10.21875" bestFit="1" customWidth="1"/>
    <col min="401" max="401" width="20.77734375" bestFit="1" customWidth="1"/>
    <col min="402" max="402" width="19.109375" bestFit="1" customWidth="1"/>
    <col min="403" max="403" width="13.77734375" bestFit="1" customWidth="1"/>
    <col min="404" max="404" width="15.109375" bestFit="1" customWidth="1"/>
    <col min="405" max="405" width="11.33203125" bestFit="1" customWidth="1"/>
    <col min="406" max="407" width="14.109375" bestFit="1" customWidth="1"/>
    <col min="408" max="408" width="15" bestFit="1" customWidth="1"/>
    <col min="409" max="409" width="6.5546875" bestFit="1" customWidth="1"/>
    <col min="410" max="410" width="10.6640625" bestFit="1" customWidth="1"/>
    <col min="411" max="411" width="14.6640625" bestFit="1" customWidth="1"/>
    <col min="412" max="412" width="15" bestFit="1" customWidth="1"/>
    <col min="413" max="413" width="14.6640625" bestFit="1" customWidth="1"/>
    <col min="415" max="415" width="12.44140625" bestFit="1" customWidth="1"/>
    <col min="416" max="416" width="13.33203125" bestFit="1" customWidth="1"/>
    <col min="417" max="417" width="24.109375" bestFit="1" customWidth="1"/>
    <col min="418" max="418" width="25.88671875" bestFit="1" customWidth="1"/>
    <col min="419" max="419" width="12" bestFit="1" customWidth="1"/>
    <col min="420" max="420" width="10.109375" bestFit="1" customWidth="1"/>
    <col min="421" max="421" width="14.77734375" bestFit="1" customWidth="1"/>
    <col min="422" max="422" width="5.77734375" bestFit="1" customWidth="1"/>
    <col min="423" max="423" width="9.21875" bestFit="1" customWidth="1"/>
    <col min="424" max="424" width="12" bestFit="1" customWidth="1"/>
    <col min="425" max="425" width="14.21875" bestFit="1" customWidth="1"/>
    <col min="426" max="426" width="15.21875" bestFit="1" customWidth="1"/>
    <col min="427" max="427" width="12.109375" bestFit="1" customWidth="1"/>
    <col min="428" max="428" width="26.77734375" bestFit="1" customWidth="1"/>
    <col min="429" max="429" width="14.109375" bestFit="1" customWidth="1"/>
    <col min="430" max="430" width="12.21875" bestFit="1" customWidth="1"/>
    <col min="431" max="431" width="11" bestFit="1" customWidth="1"/>
    <col min="432" max="432" width="12" bestFit="1" customWidth="1"/>
    <col min="433" max="433" width="14.44140625" bestFit="1" customWidth="1"/>
    <col min="434" max="434" width="16" bestFit="1" customWidth="1"/>
    <col min="435" max="435" width="15.6640625" bestFit="1" customWidth="1"/>
    <col min="436" max="436" width="12.21875" bestFit="1" customWidth="1"/>
    <col min="437" max="438" width="15.33203125" bestFit="1" customWidth="1"/>
    <col min="439" max="439" width="16.109375" bestFit="1" customWidth="1"/>
    <col min="440" max="440" width="7.44140625" bestFit="1" customWidth="1"/>
    <col min="441" max="441" width="5.5546875" bestFit="1" customWidth="1"/>
    <col min="442" max="442" width="13.33203125" bestFit="1" customWidth="1"/>
    <col min="443" max="443" width="13.88671875" bestFit="1" customWidth="1"/>
    <col min="444" max="444" width="6.21875" bestFit="1" customWidth="1"/>
    <col min="445" max="445" width="12" bestFit="1" customWidth="1"/>
    <col min="446" max="446" width="12.88671875" bestFit="1" customWidth="1"/>
    <col min="447" max="447" width="8" bestFit="1" customWidth="1"/>
    <col min="448" max="448" width="12.6640625" bestFit="1" customWidth="1"/>
    <col min="449" max="449" width="11.6640625" bestFit="1" customWidth="1"/>
    <col min="450" max="450" width="16.44140625" bestFit="1" customWidth="1"/>
    <col min="451" max="451" width="22.33203125" bestFit="1" customWidth="1"/>
    <col min="452" max="452" width="14" bestFit="1" customWidth="1"/>
    <col min="453" max="453" width="16.44140625" bestFit="1" customWidth="1"/>
    <col min="454" max="454" width="8.21875" bestFit="1" customWidth="1"/>
    <col min="455" max="455" width="14.109375" bestFit="1" customWidth="1"/>
    <col min="456" max="456" width="14.77734375" bestFit="1" customWidth="1"/>
    <col min="457" max="457" width="11.109375" bestFit="1" customWidth="1"/>
    <col min="458" max="458" width="11.6640625" bestFit="1" customWidth="1"/>
    <col min="459" max="459" width="12" bestFit="1" customWidth="1"/>
    <col min="460" max="460" width="10.6640625" bestFit="1" customWidth="1"/>
    <col min="461" max="461" width="7.21875" bestFit="1" customWidth="1"/>
    <col min="462" max="463" width="12" bestFit="1" customWidth="1"/>
    <col min="464" max="464" width="16.6640625" bestFit="1" customWidth="1"/>
    <col min="465" max="465" width="15.77734375" bestFit="1" customWidth="1"/>
    <col min="466" max="466" width="15.88671875" bestFit="1" customWidth="1"/>
    <col min="467" max="467" width="12" bestFit="1" customWidth="1"/>
    <col min="468" max="468" width="9.77734375" bestFit="1" customWidth="1"/>
    <col min="469" max="469" width="16.33203125" bestFit="1" customWidth="1"/>
    <col min="470" max="470" width="12" bestFit="1" customWidth="1"/>
    <col min="471" max="471" width="9" bestFit="1" customWidth="1"/>
    <col min="472" max="472" width="11.33203125" bestFit="1" customWidth="1"/>
    <col min="473" max="473" width="7.33203125" bestFit="1" customWidth="1"/>
    <col min="474" max="474" width="15" bestFit="1" customWidth="1"/>
    <col min="475" max="475" width="12" bestFit="1" customWidth="1"/>
    <col min="476" max="476" width="12.33203125" bestFit="1" customWidth="1"/>
    <col min="477" max="477" width="9.77734375" bestFit="1" customWidth="1"/>
    <col min="478" max="478" width="9.5546875" bestFit="1" customWidth="1"/>
    <col min="479" max="479" width="31.77734375" bestFit="1" customWidth="1"/>
    <col min="480" max="480" width="8.21875" bestFit="1" customWidth="1"/>
    <col min="481" max="481" width="12" bestFit="1" customWidth="1"/>
    <col min="482" max="482" width="14.109375" bestFit="1" customWidth="1"/>
    <col min="483" max="483" width="24" bestFit="1" customWidth="1"/>
    <col min="484" max="484" width="16.6640625" bestFit="1" customWidth="1"/>
    <col min="485" max="485" width="23.44140625" bestFit="1" customWidth="1"/>
    <col min="486" max="486" width="17.5546875" bestFit="1" customWidth="1"/>
    <col min="487" max="487" width="10.33203125" bestFit="1" customWidth="1"/>
    <col min="488" max="488" width="8.109375" bestFit="1" customWidth="1"/>
    <col min="489" max="491" width="12" bestFit="1" customWidth="1"/>
    <col min="492" max="492" width="12.6640625" bestFit="1" customWidth="1"/>
    <col min="493" max="493" width="18.44140625" bestFit="1" customWidth="1"/>
    <col min="494" max="494" width="18.6640625" bestFit="1" customWidth="1"/>
    <col min="495" max="495" width="17.77734375" bestFit="1" customWidth="1"/>
    <col min="496" max="496" width="13.5546875" bestFit="1" customWidth="1"/>
    <col min="497" max="497" width="17.21875" bestFit="1" customWidth="1"/>
    <col min="498" max="498" width="12" bestFit="1" customWidth="1"/>
    <col min="499" max="499" width="20.21875" bestFit="1" customWidth="1"/>
    <col min="500" max="501" width="12" bestFit="1" customWidth="1"/>
    <col min="502" max="502" width="9.44140625" bestFit="1" customWidth="1"/>
    <col min="503" max="503" width="16.77734375" bestFit="1" customWidth="1"/>
    <col min="504" max="504" width="18.77734375" bestFit="1" customWidth="1"/>
    <col min="505" max="505" width="19.33203125" bestFit="1" customWidth="1"/>
    <col min="506" max="506" width="7.6640625" bestFit="1" customWidth="1"/>
    <col min="507" max="507" width="6.88671875" bestFit="1" customWidth="1"/>
    <col min="508" max="508" width="16.77734375" bestFit="1" customWidth="1"/>
    <col min="509" max="509" width="13.88671875" bestFit="1" customWidth="1"/>
    <col min="510" max="511" width="12" bestFit="1" customWidth="1"/>
    <col min="512" max="512" width="20.77734375" bestFit="1" customWidth="1"/>
    <col min="513" max="513" width="14.44140625" bestFit="1" customWidth="1"/>
    <col min="514" max="514" width="15.109375" bestFit="1" customWidth="1"/>
    <col min="515" max="515" width="23.6640625" bestFit="1" customWidth="1"/>
    <col min="516" max="516" width="4.5546875" bestFit="1" customWidth="1"/>
    <col min="517" max="517" width="13.44140625" bestFit="1" customWidth="1"/>
    <col min="518" max="518" width="11.44140625" bestFit="1" customWidth="1"/>
    <col min="519" max="519" width="23.109375" bestFit="1" customWidth="1"/>
    <col min="520" max="520" width="7.6640625" bestFit="1" customWidth="1"/>
    <col min="521" max="521" width="25.6640625" bestFit="1" customWidth="1"/>
    <col min="522" max="522" width="18.6640625" bestFit="1" customWidth="1"/>
    <col min="523" max="523" width="11.21875" bestFit="1" customWidth="1"/>
    <col min="524" max="525" width="12" bestFit="1" customWidth="1"/>
    <col min="526" max="526" width="7.88671875" bestFit="1" customWidth="1"/>
    <col min="527" max="527" width="24.44140625" bestFit="1" customWidth="1"/>
    <col min="528" max="528" width="13.77734375" bestFit="1" customWidth="1"/>
    <col min="529" max="529" width="11.44140625" bestFit="1" customWidth="1"/>
    <col min="530" max="530" width="13.77734375" bestFit="1" customWidth="1"/>
    <col min="531" max="531" width="19.88671875" bestFit="1" customWidth="1"/>
    <col min="532" max="532" width="27.33203125" bestFit="1" customWidth="1"/>
    <col min="533" max="533" width="19.21875" bestFit="1" customWidth="1"/>
    <col min="534" max="534" width="14.44140625" bestFit="1" customWidth="1"/>
    <col min="535" max="535" width="19" bestFit="1" customWidth="1"/>
    <col min="536" max="536" width="18.109375" bestFit="1" customWidth="1"/>
    <col min="537" max="537" width="17.44140625" bestFit="1" customWidth="1"/>
    <col min="538" max="538" width="18.6640625" bestFit="1" customWidth="1"/>
    <col min="539" max="539" width="15.109375" bestFit="1" customWidth="1"/>
    <col min="540" max="540" width="16.88671875" bestFit="1" customWidth="1"/>
    <col min="541" max="541" width="12" bestFit="1" customWidth="1"/>
    <col min="542" max="542" width="16.6640625" bestFit="1" customWidth="1"/>
    <col min="543" max="543" width="15.44140625" bestFit="1" customWidth="1"/>
    <col min="544" max="545" width="12" bestFit="1" customWidth="1"/>
    <col min="546" max="546" width="10.33203125" bestFit="1" customWidth="1"/>
    <col min="547" max="547" width="17.21875" bestFit="1" customWidth="1"/>
    <col min="548" max="548" width="10.5546875" bestFit="1" customWidth="1"/>
    <col min="549" max="549" width="14.44140625" bestFit="1" customWidth="1"/>
    <col min="550" max="550" width="10.6640625" bestFit="1" customWidth="1"/>
    <col min="551" max="551" width="13.6640625" bestFit="1" customWidth="1"/>
    <col min="552" max="552" width="5" bestFit="1" customWidth="1"/>
    <col min="553" max="553" width="11.44140625" bestFit="1" customWidth="1"/>
    <col min="554" max="554" width="17.88671875" bestFit="1" customWidth="1"/>
    <col min="555" max="555" width="14.5546875" bestFit="1" customWidth="1"/>
    <col min="556" max="556" width="12.77734375" bestFit="1" customWidth="1"/>
    <col min="557" max="557" width="10.88671875" bestFit="1" customWidth="1"/>
    <col min="558" max="558" width="9.109375" bestFit="1" customWidth="1"/>
    <col min="559" max="559" width="9.21875" bestFit="1" customWidth="1"/>
    <col min="560" max="560" width="8.6640625" bestFit="1" customWidth="1"/>
    <col min="561" max="561" width="12" bestFit="1" customWidth="1"/>
    <col min="562" max="562" width="12.44140625" bestFit="1" customWidth="1"/>
    <col min="563" max="563" width="10.88671875" bestFit="1" customWidth="1"/>
    <col min="564" max="564" width="18.5546875" bestFit="1" customWidth="1"/>
    <col min="565" max="565" width="9.109375" bestFit="1" customWidth="1"/>
    <col min="566" max="566" width="7.21875" bestFit="1" customWidth="1"/>
    <col min="567" max="567" width="9.77734375" bestFit="1" customWidth="1"/>
    <col min="568" max="568" width="12.88671875" bestFit="1" customWidth="1"/>
    <col min="569" max="569" width="9" bestFit="1" customWidth="1"/>
    <col min="570" max="570" width="9.77734375" bestFit="1" customWidth="1"/>
    <col min="571" max="571" width="18.109375" bestFit="1" customWidth="1"/>
    <col min="572" max="572" width="7.77734375" bestFit="1" customWidth="1"/>
    <col min="573" max="573" width="13.44140625" bestFit="1" customWidth="1"/>
    <col min="574" max="574" width="11.6640625" bestFit="1" customWidth="1"/>
    <col min="575" max="575" width="17.88671875" bestFit="1" customWidth="1"/>
    <col min="576" max="576" width="21.6640625" bestFit="1" customWidth="1"/>
    <col min="577" max="577" width="13.33203125" bestFit="1" customWidth="1"/>
    <col min="578" max="578" width="10.21875" bestFit="1" customWidth="1"/>
    <col min="579" max="579" width="7" bestFit="1" customWidth="1"/>
    <col min="580" max="580" width="15.44140625" bestFit="1" customWidth="1"/>
    <col min="581" max="581" width="18.6640625" bestFit="1" customWidth="1"/>
    <col min="582" max="582" width="13.33203125" bestFit="1" customWidth="1"/>
    <col min="583" max="583" width="14.44140625" bestFit="1" customWidth="1"/>
    <col min="584" max="584" width="12.33203125" bestFit="1" customWidth="1"/>
    <col min="585" max="585" width="15.109375" bestFit="1" customWidth="1"/>
    <col min="586" max="586" width="16.21875" bestFit="1" customWidth="1"/>
    <col min="587" max="587" width="12.6640625" bestFit="1" customWidth="1"/>
    <col min="588" max="588" width="15.77734375" bestFit="1" customWidth="1"/>
    <col min="589" max="589" width="6.109375" bestFit="1" customWidth="1"/>
    <col min="590" max="590" width="11.88671875" bestFit="1" customWidth="1"/>
    <col min="591" max="591" width="17.5546875" bestFit="1" customWidth="1"/>
    <col min="592" max="592" width="17.6640625" bestFit="1" customWidth="1"/>
    <col min="593" max="593" width="18.21875" bestFit="1" customWidth="1"/>
    <col min="594" max="594" width="19.5546875" bestFit="1" customWidth="1"/>
    <col min="595" max="599" width="12" bestFit="1" customWidth="1"/>
    <col min="600" max="600" width="16.77734375" bestFit="1" customWidth="1"/>
    <col min="601" max="601" width="20.33203125" bestFit="1" customWidth="1"/>
    <col min="602" max="602" width="12.33203125" bestFit="1" customWidth="1"/>
    <col min="603" max="603" width="15.88671875" bestFit="1" customWidth="1"/>
    <col min="604" max="604" width="17" bestFit="1" customWidth="1"/>
    <col min="605" max="605" width="12.44140625" bestFit="1" customWidth="1"/>
    <col min="606" max="606" width="12.21875" bestFit="1" customWidth="1"/>
    <col min="607" max="607" width="9.109375" bestFit="1" customWidth="1"/>
    <col min="608" max="608" width="15.44140625" bestFit="1" customWidth="1"/>
    <col min="609" max="609" width="12" bestFit="1" customWidth="1"/>
    <col min="610" max="610" width="11.33203125" bestFit="1" customWidth="1"/>
    <col min="611" max="612" width="12" bestFit="1" customWidth="1"/>
    <col min="613" max="613" width="18" bestFit="1" customWidth="1"/>
    <col min="614" max="614" width="14.21875" bestFit="1" customWidth="1"/>
    <col min="615" max="615" width="16.33203125" bestFit="1" customWidth="1"/>
    <col min="616" max="616" width="18" bestFit="1" customWidth="1"/>
    <col min="617" max="617" width="11.21875" bestFit="1" customWidth="1"/>
    <col min="618" max="618" width="14.109375" bestFit="1" customWidth="1"/>
    <col min="619" max="619" width="15.109375" bestFit="1" customWidth="1"/>
    <col min="620" max="620" width="9" bestFit="1" customWidth="1"/>
    <col min="621" max="621" width="8" bestFit="1" customWidth="1"/>
    <col min="622" max="622" width="16.33203125" bestFit="1" customWidth="1"/>
    <col min="623" max="623" width="6.6640625" bestFit="1" customWidth="1"/>
    <col min="624" max="624" width="12" bestFit="1" customWidth="1"/>
    <col min="625" max="625" width="7.44140625" bestFit="1" customWidth="1"/>
    <col min="626" max="626" width="4.77734375" bestFit="1" customWidth="1"/>
    <col min="627" max="627" width="12" bestFit="1" customWidth="1"/>
    <col min="628" max="628" width="24.77734375" bestFit="1" customWidth="1"/>
    <col min="629" max="629" width="10.88671875" bestFit="1" customWidth="1"/>
    <col min="630" max="630" width="12.109375" bestFit="1" customWidth="1"/>
    <col min="631" max="631" width="12" bestFit="1" customWidth="1"/>
    <col min="632" max="632" width="12.88671875" bestFit="1" customWidth="1"/>
    <col min="633" max="633" width="17.21875" bestFit="1" customWidth="1"/>
    <col min="634" max="634" width="9.88671875" bestFit="1" customWidth="1"/>
    <col min="635" max="635" width="17.77734375" bestFit="1" customWidth="1"/>
    <col min="636" max="636" width="12.21875" bestFit="1" customWidth="1"/>
    <col min="637" max="637" width="30.6640625" bestFit="1" customWidth="1"/>
    <col min="638" max="638" width="22" bestFit="1" customWidth="1"/>
    <col min="639" max="639" width="12" bestFit="1" customWidth="1"/>
    <col min="640" max="640" width="5" bestFit="1" customWidth="1"/>
    <col min="641" max="641" width="8.109375" bestFit="1" customWidth="1"/>
    <col min="642" max="642" width="8" bestFit="1" customWidth="1"/>
    <col min="643" max="643" width="15.109375" bestFit="1" customWidth="1"/>
    <col min="644" max="644" width="9.21875" bestFit="1" customWidth="1"/>
    <col min="645" max="645" width="12" bestFit="1" customWidth="1"/>
    <col min="646" max="646" width="11.21875" bestFit="1" customWidth="1"/>
    <col min="647" max="647" width="12" bestFit="1" customWidth="1"/>
    <col min="648" max="648" width="16.5546875" bestFit="1" customWidth="1"/>
    <col min="649" max="649" width="12.5546875" bestFit="1" customWidth="1"/>
    <col min="650" max="650" width="6" bestFit="1" customWidth="1"/>
    <col min="651" max="651" width="15.21875" bestFit="1" customWidth="1"/>
    <col min="652" max="652" width="12.21875" bestFit="1" customWidth="1"/>
    <col min="653" max="653" width="12" bestFit="1" customWidth="1"/>
    <col min="654" max="654" width="14" bestFit="1" customWidth="1"/>
    <col min="655" max="655" width="8.77734375" bestFit="1" customWidth="1"/>
    <col min="656" max="656" width="15.44140625" bestFit="1" customWidth="1"/>
    <col min="657" max="657" width="12.77734375" bestFit="1" customWidth="1"/>
    <col min="658" max="658" width="12" bestFit="1" customWidth="1"/>
    <col min="659" max="659" width="6.109375" bestFit="1" customWidth="1"/>
    <col min="660" max="660" width="12" bestFit="1" customWidth="1"/>
    <col min="661" max="661" width="6.88671875" bestFit="1" customWidth="1"/>
    <col min="662" max="662" width="12" bestFit="1" customWidth="1"/>
    <col min="663" max="663" width="21.6640625" bestFit="1" customWidth="1"/>
    <col min="664" max="664" width="26.44140625" bestFit="1" customWidth="1"/>
    <col min="665" max="665" width="13.6640625" bestFit="1" customWidth="1"/>
    <col min="666" max="666" width="15.6640625" bestFit="1" customWidth="1"/>
    <col min="667" max="667" width="19.44140625" bestFit="1" customWidth="1"/>
    <col min="668" max="668" width="23.21875" bestFit="1" customWidth="1"/>
    <col min="669" max="669" width="23.44140625" bestFit="1" customWidth="1"/>
    <col min="670" max="670" width="15.33203125" bestFit="1" customWidth="1"/>
    <col min="671" max="671" width="14.6640625" bestFit="1" customWidth="1"/>
    <col min="672" max="672" width="15.6640625" bestFit="1" customWidth="1"/>
    <col min="673" max="673" width="14.109375" bestFit="1" customWidth="1"/>
    <col min="674" max="674" width="15.77734375" bestFit="1" customWidth="1"/>
    <col min="675" max="675" width="13.5546875" bestFit="1" customWidth="1"/>
    <col min="676" max="676" width="18.33203125" bestFit="1" customWidth="1"/>
    <col min="677" max="677" width="15.33203125" bestFit="1" customWidth="1"/>
    <col min="678" max="678" width="12" bestFit="1" customWidth="1"/>
    <col min="679" max="679" width="16.44140625" bestFit="1" customWidth="1"/>
    <col min="680" max="680" width="12" bestFit="1" customWidth="1"/>
    <col min="681" max="681" width="12.77734375" bestFit="1" customWidth="1"/>
    <col min="682" max="682" width="13.88671875" bestFit="1" customWidth="1"/>
    <col min="683" max="683" width="13.77734375" bestFit="1" customWidth="1"/>
    <col min="684" max="684" width="19.5546875" bestFit="1" customWidth="1"/>
    <col min="685" max="686" width="19.109375" bestFit="1" customWidth="1"/>
    <col min="687" max="687" width="9.109375" bestFit="1" customWidth="1"/>
    <col min="688" max="688" width="10.77734375" bestFit="1" customWidth="1"/>
    <col min="689" max="689" width="11.6640625" bestFit="1" customWidth="1"/>
    <col min="690" max="690" width="11.88671875" bestFit="1" customWidth="1"/>
    <col min="691" max="691" width="10.109375" bestFit="1" customWidth="1"/>
    <col min="692" max="692" width="12.109375" bestFit="1" customWidth="1"/>
    <col min="693" max="693" width="14.5546875" bestFit="1" customWidth="1"/>
    <col min="694" max="694" width="6" bestFit="1" customWidth="1"/>
    <col min="695" max="695" width="12" bestFit="1" customWidth="1"/>
    <col min="696" max="696" width="14.5546875" bestFit="1" customWidth="1"/>
    <col min="697" max="697" width="10.5546875" bestFit="1" customWidth="1"/>
    <col min="698" max="698" width="18.109375" bestFit="1" customWidth="1"/>
    <col min="699" max="699" width="11.33203125" bestFit="1" customWidth="1"/>
    <col min="700" max="700" width="12.77734375" bestFit="1" customWidth="1"/>
    <col min="701" max="701" width="11.33203125" bestFit="1" customWidth="1"/>
    <col min="702" max="702" width="16.21875" bestFit="1" customWidth="1"/>
    <col min="703" max="703" width="12" bestFit="1" customWidth="1"/>
    <col min="704" max="704" width="9.33203125" bestFit="1" customWidth="1"/>
    <col min="705" max="706" width="17.6640625" bestFit="1" customWidth="1"/>
    <col min="707" max="707" width="12" bestFit="1" customWidth="1"/>
    <col min="708" max="708" width="7.44140625" bestFit="1" customWidth="1"/>
    <col min="709" max="710" width="12" bestFit="1" customWidth="1"/>
    <col min="711" max="711" width="22.44140625" bestFit="1" customWidth="1"/>
    <col min="712" max="712" width="12" bestFit="1" customWidth="1"/>
    <col min="713" max="713" width="18.21875" bestFit="1" customWidth="1"/>
    <col min="714" max="714" width="14.44140625" bestFit="1" customWidth="1"/>
    <col min="715" max="715" width="9.109375" bestFit="1" customWidth="1"/>
    <col min="716" max="716" width="5.33203125" bestFit="1" customWidth="1"/>
    <col min="717" max="717" width="15.5546875" bestFit="1" customWidth="1"/>
    <col min="718" max="718" width="12.88671875" bestFit="1" customWidth="1"/>
    <col min="719" max="719" width="12" bestFit="1" customWidth="1"/>
    <col min="720" max="720" width="12.6640625" bestFit="1" customWidth="1"/>
    <col min="721" max="721" width="16.44140625" bestFit="1" customWidth="1"/>
    <col min="722" max="722" width="15.5546875" bestFit="1" customWidth="1"/>
    <col min="723" max="723" width="20.44140625" bestFit="1" customWidth="1"/>
    <col min="724" max="724" width="22.5546875" bestFit="1" customWidth="1"/>
    <col min="725" max="725" width="13.44140625" bestFit="1" customWidth="1"/>
    <col min="726" max="726" width="22" bestFit="1" customWidth="1"/>
    <col min="727" max="727" width="22.88671875" bestFit="1" customWidth="1"/>
    <col min="728" max="728" width="12.77734375" bestFit="1" customWidth="1"/>
    <col min="729" max="729" width="13.6640625" bestFit="1" customWidth="1"/>
    <col min="731" max="731" width="16.33203125" bestFit="1" customWidth="1"/>
    <col min="732" max="732" width="13.33203125" bestFit="1" customWidth="1"/>
    <col min="733" max="733" width="13.5546875" bestFit="1" customWidth="1"/>
    <col min="734" max="734" width="13.88671875" bestFit="1" customWidth="1"/>
    <col min="735" max="735" width="11.88671875" bestFit="1" customWidth="1"/>
    <col min="736" max="736" width="15.88671875" bestFit="1" customWidth="1"/>
    <col min="737" max="737" width="12.6640625" bestFit="1" customWidth="1"/>
    <col min="738" max="738" width="7.77734375" bestFit="1" customWidth="1"/>
    <col min="739" max="739" width="26.88671875" bestFit="1" customWidth="1"/>
    <col min="740" max="740" width="12" bestFit="1" customWidth="1"/>
    <col min="741" max="741" width="9.33203125" bestFit="1" customWidth="1"/>
    <col min="742" max="742" width="15.44140625" bestFit="1" customWidth="1"/>
    <col min="743" max="744" width="12" bestFit="1" customWidth="1"/>
    <col min="745" max="745" width="15.21875" bestFit="1" customWidth="1"/>
    <col min="746" max="747" width="12" bestFit="1" customWidth="1"/>
    <col min="748" max="748" width="16.33203125" bestFit="1" customWidth="1"/>
    <col min="749" max="749" width="15.21875" bestFit="1" customWidth="1"/>
    <col min="750" max="750" width="26.33203125" bestFit="1" customWidth="1"/>
    <col min="751" max="751" width="10.5546875" bestFit="1" customWidth="1"/>
    <col min="752" max="752" width="12" bestFit="1" customWidth="1"/>
    <col min="753" max="753" width="12.88671875" bestFit="1" customWidth="1"/>
    <col min="754" max="754" width="12" bestFit="1" customWidth="1"/>
    <col min="755" max="755" width="13.44140625" bestFit="1" customWidth="1"/>
    <col min="756" max="756" width="12" bestFit="1" customWidth="1"/>
    <col min="757" max="757" width="9.44140625" bestFit="1" customWidth="1"/>
    <col min="758" max="758" width="10.6640625" bestFit="1" customWidth="1"/>
    <col min="759" max="759" width="9.44140625" bestFit="1" customWidth="1"/>
    <col min="760" max="761" width="12" bestFit="1" customWidth="1"/>
    <col min="762" max="762" width="10.109375" bestFit="1" customWidth="1"/>
    <col min="763" max="763" width="13.88671875" bestFit="1" customWidth="1"/>
    <col min="764" max="764" width="12" bestFit="1" customWidth="1"/>
    <col min="765" max="765" width="23.33203125" bestFit="1" customWidth="1"/>
    <col min="766" max="766" width="17.6640625" bestFit="1" customWidth="1"/>
    <col min="767" max="767" width="15" bestFit="1" customWidth="1"/>
    <col min="768" max="768" width="9" bestFit="1" customWidth="1"/>
    <col min="769" max="769" width="15.33203125" bestFit="1" customWidth="1"/>
    <col min="770" max="770" width="7.21875" bestFit="1" customWidth="1"/>
    <col min="771" max="771" width="12.5546875" bestFit="1" customWidth="1"/>
    <col min="772" max="772" width="9.88671875" bestFit="1" customWidth="1"/>
    <col min="773" max="773" width="13.109375" bestFit="1" customWidth="1"/>
    <col min="774" max="774" width="22.33203125" bestFit="1" customWidth="1"/>
    <col min="775" max="775" width="17.5546875" bestFit="1" customWidth="1"/>
    <col min="776" max="776" width="28.5546875" bestFit="1" customWidth="1"/>
    <col min="777" max="777" width="19.5546875" bestFit="1" customWidth="1"/>
    <col min="778" max="778" width="16.21875" bestFit="1" customWidth="1"/>
    <col min="779" max="779" width="15.33203125" bestFit="1" customWidth="1"/>
    <col min="780" max="780" width="13.33203125" bestFit="1" customWidth="1"/>
    <col min="781" max="781" width="19.88671875" bestFit="1" customWidth="1"/>
    <col min="782" max="782" width="20" bestFit="1" customWidth="1"/>
    <col min="783" max="783" width="14.44140625" bestFit="1" customWidth="1"/>
    <col min="784" max="784" width="21.44140625" bestFit="1" customWidth="1"/>
    <col min="785" max="785" width="15.77734375" bestFit="1" customWidth="1"/>
    <col min="786" max="786" width="18.5546875" bestFit="1" customWidth="1"/>
    <col min="787" max="787" width="21.6640625" bestFit="1" customWidth="1"/>
    <col min="788" max="788" width="14" bestFit="1" customWidth="1"/>
    <col min="789" max="789" width="12.6640625" bestFit="1" customWidth="1"/>
    <col min="790" max="790" width="18" bestFit="1" customWidth="1"/>
    <col min="791" max="791" width="12" bestFit="1" customWidth="1"/>
    <col min="792" max="792" width="23.21875" bestFit="1" customWidth="1"/>
    <col min="793" max="793" width="9.88671875" bestFit="1" customWidth="1"/>
    <col min="794" max="794" width="11.77734375" bestFit="1" customWidth="1"/>
    <col min="795" max="795" width="15.5546875" bestFit="1" customWidth="1"/>
    <col min="796" max="796" width="21.5546875" bestFit="1" customWidth="1"/>
    <col min="797" max="797" width="8.6640625" bestFit="1" customWidth="1"/>
    <col min="798" max="798" width="13.6640625" bestFit="1" customWidth="1"/>
    <col min="799" max="799" width="12" bestFit="1" customWidth="1"/>
    <col min="800" max="800" width="15" bestFit="1" customWidth="1"/>
    <col min="801" max="801" width="8.44140625" bestFit="1" customWidth="1"/>
    <col min="802" max="802" width="12" bestFit="1" customWidth="1"/>
    <col min="803" max="803" width="7.44140625" bestFit="1" customWidth="1"/>
    <col min="804" max="804" width="18.88671875" bestFit="1" customWidth="1"/>
    <col min="805" max="805" width="17.44140625" bestFit="1" customWidth="1"/>
    <col min="806" max="806" width="15.33203125" bestFit="1" customWidth="1"/>
    <col min="807" max="807" width="12" bestFit="1" customWidth="1"/>
    <col min="808" max="808" width="8.44140625" bestFit="1" customWidth="1"/>
    <col min="809" max="809" width="15.88671875" bestFit="1" customWidth="1"/>
    <col min="810" max="810" width="12" bestFit="1" customWidth="1"/>
    <col min="811" max="811" width="8.21875" bestFit="1" customWidth="1"/>
    <col min="812" max="812" width="13.6640625" bestFit="1" customWidth="1"/>
    <col min="813" max="813" width="7.6640625" bestFit="1" customWidth="1"/>
    <col min="814" max="814" width="13.33203125" bestFit="1" customWidth="1"/>
    <col min="815" max="815" width="6.21875" bestFit="1" customWidth="1"/>
    <col min="816" max="816" width="6.44140625" bestFit="1" customWidth="1"/>
    <col min="817" max="817" width="7.21875" bestFit="1" customWidth="1"/>
    <col min="818" max="818" width="16.77734375" bestFit="1" customWidth="1"/>
    <col min="819" max="819" width="14.77734375" bestFit="1" customWidth="1"/>
    <col min="820" max="820" width="9.109375" bestFit="1" customWidth="1"/>
    <col min="821" max="822" width="12" bestFit="1" customWidth="1"/>
    <col min="823" max="823" width="15.21875" bestFit="1" customWidth="1"/>
    <col min="824" max="824" width="11.6640625" bestFit="1" customWidth="1"/>
    <col min="825" max="825" width="12" bestFit="1" customWidth="1"/>
    <col min="826" max="826" width="15.44140625" bestFit="1" customWidth="1"/>
    <col min="827" max="827" width="16.21875" bestFit="1" customWidth="1"/>
    <col min="828" max="828" width="7" bestFit="1" customWidth="1"/>
    <col min="829" max="829" width="16.21875" bestFit="1" customWidth="1"/>
    <col min="830" max="830" width="12" bestFit="1" customWidth="1"/>
    <col min="831" max="831" width="10" bestFit="1" customWidth="1"/>
    <col min="832" max="832" width="33.21875" bestFit="1" customWidth="1"/>
    <col min="833" max="833" width="20.6640625" bestFit="1" customWidth="1"/>
    <col min="834" max="834" width="20.109375" bestFit="1" customWidth="1"/>
    <col min="835" max="835" width="21.44140625" bestFit="1" customWidth="1"/>
    <col min="836" max="836" width="15.44140625" bestFit="1" customWidth="1"/>
    <col min="837" max="837" width="12" bestFit="1" customWidth="1"/>
    <col min="838" max="838" width="6.109375" bestFit="1" customWidth="1"/>
    <col min="839" max="839" width="10.44140625" bestFit="1" customWidth="1"/>
    <col min="840" max="840" width="16.6640625" bestFit="1" customWidth="1"/>
    <col min="841" max="841" width="12.6640625" bestFit="1" customWidth="1"/>
    <col min="842" max="842" width="12.44140625" bestFit="1" customWidth="1"/>
    <col min="843" max="843" width="12.6640625" bestFit="1" customWidth="1"/>
    <col min="844" max="844" width="13.44140625" bestFit="1" customWidth="1"/>
    <col min="845" max="845" width="10.44140625" bestFit="1" customWidth="1"/>
    <col min="846" max="846" width="7" bestFit="1" customWidth="1"/>
    <col min="847" max="847" width="15" bestFit="1" customWidth="1"/>
    <col min="848" max="848" width="14.5546875" bestFit="1" customWidth="1"/>
    <col min="849" max="849" width="15.44140625" bestFit="1" customWidth="1"/>
    <col min="850" max="850" width="11.88671875" bestFit="1" customWidth="1"/>
    <col min="851" max="851" width="14" bestFit="1" customWidth="1"/>
    <col min="852" max="852" width="15.5546875" bestFit="1" customWidth="1"/>
    <col min="853" max="853" width="12" bestFit="1" customWidth="1"/>
    <col min="854" max="854" width="12.44140625" bestFit="1" customWidth="1"/>
    <col min="855" max="855" width="14" bestFit="1" customWidth="1"/>
    <col min="856" max="856" width="8.109375" bestFit="1" customWidth="1"/>
    <col min="857" max="857" width="10.44140625" bestFit="1" customWidth="1"/>
    <col min="858" max="858" width="18" bestFit="1" customWidth="1"/>
    <col min="859" max="859" width="11.33203125" bestFit="1" customWidth="1"/>
    <col min="860" max="860" width="12" bestFit="1" customWidth="1"/>
    <col min="861" max="861" width="9.44140625" bestFit="1" customWidth="1"/>
    <col min="862" max="862" width="15.109375" bestFit="1" customWidth="1"/>
    <col min="863" max="863" width="19.21875" bestFit="1" customWidth="1"/>
    <col min="864" max="864" width="22.5546875" bestFit="1" customWidth="1"/>
    <col min="865" max="865" width="18.5546875" bestFit="1" customWidth="1"/>
    <col min="866" max="866" width="12" bestFit="1" customWidth="1"/>
    <col min="867" max="867" width="20.5546875" bestFit="1" customWidth="1"/>
    <col min="868" max="868" width="12.88671875" bestFit="1" customWidth="1"/>
    <col min="869" max="869" width="13.21875" bestFit="1" customWidth="1"/>
    <col min="870" max="870" width="27.33203125" bestFit="1" customWidth="1"/>
    <col min="871" max="871" width="12" bestFit="1" customWidth="1"/>
    <col min="872" max="872" width="23.77734375" bestFit="1" customWidth="1"/>
    <col min="873" max="873" width="9.77734375" bestFit="1" customWidth="1"/>
    <col min="874" max="874" width="8" bestFit="1" customWidth="1"/>
    <col min="875" max="875" width="5.33203125" bestFit="1" customWidth="1"/>
    <col min="876" max="876" width="7.77734375" bestFit="1" customWidth="1"/>
    <col min="877" max="877" width="21.33203125" bestFit="1" customWidth="1"/>
    <col min="878" max="878" width="7.109375" bestFit="1" customWidth="1"/>
    <col min="879" max="879" width="14.6640625" bestFit="1" customWidth="1"/>
    <col min="880" max="880" width="13.6640625" bestFit="1" customWidth="1"/>
    <col min="881" max="881" width="10.77734375" bestFit="1" customWidth="1"/>
    <col min="882" max="882" width="14.33203125" bestFit="1" customWidth="1"/>
    <col min="883" max="883" width="14.88671875" bestFit="1" customWidth="1"/>
    <col min="884" max="884" width="6" bestFit="1" customWidth="1"/>
    <col min="885" max="885" width="9.33203125" bestFit="1" customWidth="1"/>
    <col min="886" max="886" width="12" bestFit="1" customWidth="1"/>
    <col min="887" max="887" width="11.109375" bestFit="1" customWidth="1"/>
    <col min="888" max="888" width="17.44140625" bestFit="1" customWidth="1"/>
    <col min="889" max="889" width="14.6640625" bestFit="1" customWidth="1"/>
    <col min="890" max="890" width="11.6640625" bestFit="1" customWidth="1"/>
    <col min="891" max="891" width="22.88671875" bestFit="1" customWidth="1"/>
    <col min="892" max="892" width="12" bestFit="1" customWidth="1"/>
    <col min="893" max="893" width="16.6640625" bestFit="1" customWidth="1"/>
    <col min="894" max="894" width="8" bestFit="1" customWidth="1"/>
    <col min="895" max="895" width="12" bestFit="1" customWidth="1"/>
    <col min="896" max="896" width="11" bestFit="1" customWidth="1"/>
    <col min="897" max="897" width="12" bestFit="1" customWidth="1"/>
    <col min="898" max="898" width="7.33203125" bestFit="1" customWidth="1"/>
    <col min="899" max="899" width="17.33203125" bestFit="1" customWidth="1"/>
    <col min="900" max="900" width="37.44140625" bestFit="1" customWidth="1"/>
    <col min="901" max="901" width="17.88671875" bestFit="1" customWidth="1"/>
    <col min="902" max="902" width="18.21875" bestFit="1" customWidth="1"/>
    <col min="903" max="903" width="16.109375" bestFit="1" customWidth="1"/>
    <col min="904" max="904" width="12.88671875" bestFit="1" customWidth="1"/>
    <col min="905" max="906" width="12" bestFit="1" customWidth="1"/>
    <col min="907" max="907" width="12.88671875" bestFit="1" customWidth="1"/>
    <col min="908" max="908" width="16.109375" bestFit="1" customWidth="1"/>
    <col min="909" max="909" width="24.6640625" bestFit="1" customWidth="1"/>
    <col min="910" max="910" width="17.33203125" bestFit="1" customWidth="1"/>
    <col min="911" max="911" width="15.21875" bestFit="1" customWidth="1"/>
    <col min="912" max="912" width="23.44140625" bestFit="1" customWidth="1"/>
    <col min="913" max="913" width="13.77734375" bestFit="1" customWidth="1"/>
    <col min="914" max="914" width="24.21875" bestFit="1" customWidth="1"/>
    <col min="915" max="915" width="22.21875" bestFit="1" customWidth="1"/>
    <col min="916" max="916" width="20.77734375" bestFit="1" customWidth="1"/>
    <col min="917" max="918" width="12" bestFit="1" customWidth="1"/>
    <col min="919" max="919" width="10.21875" bestFit="1" customWidth="1"/>
    <col min="920" max="920" width="12" bestFit="1" customWidth="1"/>
    <col min="921" max="921" width="19.21875" bestFit="1" customWidth="1"/>
    <col min="922" max="922" width="12" bestFit="1" customWidth="1"/>
    <col min="923" max="923" width="16.77734375" bestFit="1" customWidth="1"/>
    <col min="924" max="924" width="19.21875" bestFit="1" customWidth="1"/>
    <col min="925" max="925" width="16.5546875" bestFit="1" customWidth="1"/>
    <col min="926" max="926" width="20" bestFit="1" customWidth="1"/>
    <col min="927" max="927" width="17.33203125" bestFit="1" customWidth="1"/>
    <col min="928" max="928" width="16" bestFit="1" customWidth="1"/>
    <col min="929" max="929" width="16.77734375" bestFit="1" customWidth="1"/>
    <col min="930" max="930" width="19.33203125" bestFit="1" customWidth="1"/>
    <col min="931" max="931" width="17.5546875" bestFit="1" customWidth="1"/>
    <col min="932" max="932" width="15.5546875" bestFit="1" customWidth="1"/>
    <col min="933" max="933" width="20.6640625" bestFit="1" customWidth="1"/>
    <col min="934" max="934" width="15.33203125" bestFit="1" customWidth="1"/>
    <col min="935" max="935" width="17.6640625" bestFit="1" customWidth="1"/>
    <col min="936" max="936" width="24.88671875" bestFit="1" customWidth="1"/>
    <col min="937" max="937" width="18.33203125" bestFit="1" customWidth="1"/>
    <col min="938" max="938" width="15.5546875" bestFit="1" customWidth="1"/>
    <col min="939" max="939" width="14.77734375" bestFit="1" customWidth="1"/>
    <col min="940" max="940" width="17.33203125" bestFit="1" customWidth="1"/>
    <col min="941" max="941" width="6.77734375" bestFit="1" customWidth="1"/>
    <col min="942" max="942" width="19.6640625" bestFit="1" customWidth="1"/>
    <col min="943" max="943" width="12" bestFit="1" customWidth="1"/>
    <col min="944" max="944" width="6" bestFit="1" customWidth="1"/>
    <col min="945" max="945" width="12" bestFit="1" customWidth="1"/>
    <col min="946" max="946" width="16.88671875" bestFit="1" customWidth="1"/>
    <col min="947" max="947" width="17.33203125" bestFit="1" customWidth="1"/>
    <col min="948" max="948" width="18.33203125" bestFit="1" customWidth="1"/>
    <col min="949" max="949" width="12" bestFit="1" customWidth="1"/>
    <col min="950" max="950" width="14.44140625" bestFit="1" customWidth="1"/>
    <col min="951" max="951" width="17.33203125" bestFit="1" customWidth="1"/>
    <col min="952" max="952" width="16" bestFit="1" customWidth="1"/>
    <col min="953" max="953" width="7.33203125" bestFit="1" customWidth="1"/>
    <col min="954" max="954" width="7.5546875" bestFit="1" customWidth="1"/>
    <col min="955" max="955" width="8.33203125" bestFit="1" customWidth="1"/>
    <col min="956" max="956" width="19" bestFit="1" customWidth="1"/>
    <col min="957" max="957" width="16" bestFit="1" customWidth="1"/>
    <col min="958" max="958" width="12" bestFit="1" customWidth="1"/>
    <col min="959" max="959" width="10.21875" bestFit="1" customWidth="1"/>
    <col min="960" max="960" width="12.6640625" bestFit="1" customWidth="1"/>
    <col min="961" max="961" width="14.109375" bestFit="1" customWidth="1"/>
    <col min="962" max="962" width="12.33203125" bestFit="1" customWidth="1"/>
    <col min="963" max="963" width="21.33203125" bestFit="1" customWidth="1"/>
    <col min="964" max="964" width="6.44140625" bestFit="1" customWidth="1"/>
    <col min="965" max="965" width="13.44140625" bestFit="1" customWidth="1"/>
    <col min="966" max="966" width="16.109375" bestFit="1" customWidth="1"/>
    <col min="967" max="967" width="9.109375" bestFit="1" customWidth="1"/>
    <col min="968" max="968" width="12" bestFit="1" customWidth="1"/>
    <col min="969" max="969" width="5" bestFit="1" customWidth="1"/>
    <col min="970" max="972" width="12" bestFit="1" customWidth="1"/>
    <col min="973" max="973" width="6.77734375" bestFit="1" customWidth="1"/>
    <col min="974" max="974" width="17.5546875" bestFit="1" customWidth="1"/>
    <col min="975" max="975" width="10.44140625" bestFit="1" customWidth="1"/>
    <col min="976" max="976" width="14.109375" bestFit="1" customWidth="1"/>
    <col min="977" max="977" width="22.77734375" bestFit="1" customWidth="1"/>
    <col min="978" max="978" width="18.88671875" bestFit="1" customWidth="1"/>
    <col min="979" max="979" width="12" bestFit="1" customWidth="1"/>
    <col min="980" max="980" width="11" bestFit="1" customWidth="1"/>
    <col min="981" max="981" width="19.88671875" bestFit="1" customWidth="1"/>
    <col min="982" max="982" width="29.77734375" bestFit="1" customWidth="1"/>
    <col min="983" max="983" width="15.5546875" bestFit="1" customWidth="1"/>
    <col min="984" max="984" width="19.6640625" bestFit="1" customWidth="1"/>
    <col min="985" max="985" width="12" bestFit="1" customWidth="1"/>
    <col min="986" max="986" width="8.109375" bestFit="1" customWidth="1"/>
    <col min="987" max="987" width="9.109375" bestFit="1" customWidth="1"/>
    <col min="988" max="988" width="15.21875" bestFit="1" customWidth="1"/>
    <col min="989" max="989" width="13.21875" bestFit="1" customWidth="1"/>
    <col min="990" max="990" width="14.88671875" bestFit="1" customWidth="1"/>
    <col min="991" max="992" width="17.88671875" bestFit="1" customWidth="1"/>
    <col min="993" max="993" width="16.33203125" bestFit="1" customWidth="1"/>
    <col min="994" max="994" width="20.21875" bestFit="1" customWidth="1"/>
    <col min="995" max="995" width="18.77734375" bestFit="1" customWidth="1"/>
    <col min="996" max="996" width="10" bestFit="1" customWidth="1"/>
    <col min="997" max="997" width="16.33203125" bestFit="1" customWidth="1"/>
    <col min="998" max="998" width="10.21875" bestFit="1" customWidth="1"/>
    <col min="999" max="999" width="27.5546875" bestFit="1" customWidth="1"/>
    <col min="1000" max="1000" width="16.21875" bestFit="1" customWidth="1"/>
    <col min="1001" max="1001" width="15.88671875" bestFit="1" customWidth="1"/>
    <col min="1002" max="1002" width="12.6640625" bestFit="1" customWidth="1"/>
    <col min="1003" max="1003" width="18.44140625" bestFit="1" customWidth="1"/>
    <col min="1004" max="1004" width="14.88671875" bestFit="1" customWidth="1"/>
    <col min="1005" max="1005" width="9.77734375" bestFit="1" customWidth="1"/>
    <col min="1006" max="1006" width="13.33203125" bestFit="1" customWidth="1"/>
    <col min="1007" max="1007" width="11.5546875" bestFit="1" customWidth="1"/>
    <col min="1008" max="1008" width="14.5546875" bestFit="1" customWidth="1"/>
    <col min="1009" max="1009" width="10.88671875" bestFit="1" customWidth="1"/>
    <col min="1010" max="1010" width="11.109375" bestFit="1" customWidth="1"/>
    <col min="1011" max="1011" width="12.21875" bestFit="1" customWidth="1"/>
    <col min="1012" max="1012" width="12" bestFit="1" customWidth="1"/>
    <col min="1013" max="1013" width="20.44140625" bestFit="1" customWidth="1"/>
    <col min="1014" max="1014" width="13.44140625" bestFit="1" customWidth="1"/>
    <col min="1015" max="1015" width="13.109375" bestFit="1" customWidth="1"/>
    <col min="1016" max="1016" width="13.21875" bestFit="1" customWidth="1"/>
    <col min="1017" max="1017" width="26.109375" bestFit="1" customWidth="1"/>
    <col min="1018" max="1018" width="12.88671875" bestFit="1" customWidth="1"/>
    <col min="1019" max="1019" width="7.109375" bestFit="1" customWidth="1"/>
    <col min="1020" max="1020" width="7.21875" bestFit="1" customWidth="1"/>
    <col min="1021" max="1021" width="9.77734375" bestFit="1" customWidth="1"/>
    <col min="1022" max="1022" width="12" bestFit="1" customWidth="1"/>
    <col min="1023" max="1023" width="15" bestFit="1" customWidth="1"/>
    <col min="1024" max="1024" width="14.44140625" bestFit="1" customWidth="1"/>
    <col min="1025" max="1025" width="21" bestFit="1" customWidth="1"/>
    <col min="1026" max="1026" width="12" bestFit="1" customWidth="1"/>
    <col min="1027" max="1027" width="6" bestFit="1" customWidth="1"/>
    <col min="1028" max="1028" width="6.5546875" bestFit="1" customWidth="1"/>
    <col min="1029" max="1029" width="5.33203125" bestFit="1" customWidth="1"/>
    <col min="1030" max="1031" width="12" bestFit="1" customWidth="1"/>
    <col min="1032" max="1032" width="17.44140625" bestFit="1" customWidth="1"/>
    <col min="1033" max="1033" width="14.6640625" bestFit="1" customWidth="1"/>
    <col min="1034" max="1034" width="13.109375" bestFit="1" customWidth="1"/>
    <col min="1035" max="1035" width="13.77734375" bestFit="1" customWidth="1"/>
    <col min="1036" max="1036" width="14.109375" bestFit="1" customWidth="1"/>
    <col min="1037" max="1037" width="29" bestFit="1" customWidth="1"/>
    <col min="1038" max="1038" width="15.5546875" bestFit="1" customWidth="1"/>
    <col min="1039" max="1039" width="10.5546875" bestFit="1" customWidth="1"/>
    <col min="1040" max="1040" width="12" bestFit="1" customWidth="1"/>
    <col min="1041" max="1041" width="18.88671875" bestFit="1" customWidth="1"/>
    <col min="1042" max="1042" width="12" bestFit="1" customWidth="1"/>
    <col min="1043" max="1043" width="10.5546875" bestFit="1" customWidth="1"/>
    <col min="1044" max="1044" width="12.109375" bestFit="1" customWidth="1"/>
    <col min="1045" max="1045" width="17.21875" bestFit="1" customWidth="1"/>
    <col min="1046" max="1046" width="21" bestFit="1" customWidth="1"/>
    <col min="1047" max="1047" width="16" bestFit="1" customWidth="1"/>
    <col min="1048" max="1048" width="7.77734375" bestFit="1" customWidth="1"/>
    <col min="1049" max="1049" width="12" bestFit="1" customWidth="1"/>
    <col min="1050" max="1050" width="13.6640625" bestFit="1" customWidth="1"/>
    <col min="1051" max="1051" width="6" bestFit="1" customWidth="1"/>
    <col min="1052" max="1052" width="12" bestFit="1" customWidth="1"/>
    <col min="1053" max="1053" width="12.88671875" bestFit="1" customWidth="1"/>
    <col min="1054" max="1054" width="16.44140625" bestFit="1" customWidth="1"/>
    <col min="1055" max="1055" width="12" bestFit="1" customWidth="1"/>
    <col min="1056" max="1057" width="14.33203125" bestFit="1" customWidth="1"/>
    <col min="1058" max="1058" width="15.88671875" bestFit="1" customWidth="1"/>
    <col min="1059" max="1059" width="28.109375" bestFit="1" customWidth="1"/>
    <col min="1060" max="1060" width="15.33203125" bestFit="1" customWidth="1"/>
    <col min="1061" max="1061" width="13.109375" bestFit="1" customWidth="1"/>
    <col min="1062" max="1062" width="15.21875" bestFit="1" customWidth="1"/>
    <col min="1063" max="1063" width="12" bestFit="1" customWidth="1"/>
    <col min="1064" max="1064" width="5.77734375" bestFit="1" customWidth="1"/>
    <col min="1065" max="1065" width="13.5546875" bestFit="1" customWidth="1"/>
    <col min="1066" max="1066" width="12.33203125" bestFit="1" customWidth="1"/>
    <col min="1067" max="1067" width="12" bestFit="1" customWidth="1"/>
    <col min="1068" max="1068" width="11.77734375" bestFit="1" customWidth="1"/>
    <col min="1069" max="1069" width="13.88671875" bestFit="1" customWidth="1"/>
    <col min="1070" max="1070" width="7.88671875" bestFit="1" customWidth="1"/>
    <col min="1071" max="1071" width="9.77734375" bestFit="1" customWidth="1"/>
    <col min="1072" max="1072" width="12.6640625" bestFit="1" customWidth="1"/>
    <col min="1073" max="1073" width="11.44140625" bestFit="1" customWidth="1"/>
    <col min="1074" max="1074" width="12" bestFit="1" customWidth="1"/>
    <col min="1075" max="1075" width="11.6640625" bestFit="1" customWidth="1"/>
    <col min="1076" max="1076" width="9.33203125" bestFit="1" customWidth="1"/>
    <col min="1077" max="1077" width="5" bestFit="1" customWidth="1"/>
    <col min="1078" max="1078" width="14.88671875" bestFit="1" customWidth="1"/>
    <col min="1079" max="1079" width="14.21875" bestFit="1" customWidth="1"/>
    <col min="1080" max="1080" width="9.77734375" bestFit="1" customWidth="1"/>
    <col min="1081" max="1081" width="16.21875" bestFit="1" customWidth="1"/>
    <col min="1082" max="1082" width="12" bestFit="1" customWidth="1"/>
    <col min="1083" max="1083" width="13.21875" bestFit="1" customWidth="1"/>
    <col min="1084" max="1084" width="8.33203125" bestFit="1" customWidth="1"/>
    <col min="1085" max="1085" width="20.6640625" bestFit="1" customWidth="1"/>
    <col min="1086" max="1086" width="20" bestFit="1" customWidth="1"/>
    <col min="1087" max="1087" width="14" bestFit="1" customWidth="1"/>
    <col min="1088" max="1088" width="15.77734375" bestFit="1" customWidth="1"/>
    <col min="1089" max="1089" width="15.33203125" bestFit="1" customWidth="1"/>
    <col min="1090" max="1090" width="12" bestFit="1" customWidth="1"/>
    <col min="1091" max="1091" width="25.44140625" bestFit="1" customWidth="1"/>
    <col min="1092" max="1092" width="12.5546875" bestFit="1" customWidth="1"/>
    <col min="1093" max="1093" width="12" bestFit="1" customWidth="1"/>
    <col min="1094" max="1094" width="14.88671875" bestFit="1" customWidth="1"/>
    <col min="1095" max="1095" width="12.6640625" bestFit="1" customWidth="1"/>
    <col min="1096" max="1096" width="12.77734375" bestFit="1" customWidth="1"/>
    <col min="1097" max="1097" width="15.109375" bestFit="1" customWidth="1"/>
    <col min="1098" max="1098" width="15.5546875" bestFit="1" customWidth="1"/>
    <col min="1099" max="1099" width="24.77734375" bestFit="1" customWidth="1"/>
    <col min="1100" max="1100" width="24.5546875" bestFit="1" customWidth="1"/>
    <col min="1101" max="1101" width="15.5546875" bestFit="1" customWidth="1"/>
    <col min="1102" max="1102" width="12.44140625" bestFit="1" customWidth="1"/>
    <col min="1103" max="1103" width="15" bestFit="1" customWidth="1"/>
    <col min="1104" max="1104" width="15.21875" bestFit="1" customWidth="1"/>
    <col min="1105" max="1105" width="12.6640625" bestFit="1" customWidth="1"/>
    <col min="1106" max="1106" width="11.44140625" bestFit="1" customWidth="1"/>
    <col min="1107" max="1107" width="13.5546875" bestFit="1" customWidth="1"/>
    <col min="1108" max="1108" width="19.88671875" bestFit="1" customWidth="1"/>
    <col min="1109" max="1109" width="12" bestFit="1" customWidth="1"/>
    <col min="1110" max="1110" width="13.88671875" bestFit="1" customWidth="1"/>
    <col min="1111" max="1111" width="8.5546875" bestFit="1" customWidth="1"/>
    <col min="1112" max="1112" width="15" bestFit="1" customWidth="1"/>
    <col min="1113" max="1113" width="12.44140625" bestFit="1" customWidth="1"/>
    <col min="1114" max="1114" width="13.77734375" bestFit="1" customWidth="1"/>
    <col min="1115" max="1115" width="18.44140625" bestFit="1" customWidth="1"/>
    <col min="1116" max="1116" width="11.109375" bestFit="1" customWidth="1"/>
    <col min="1117" max="1117" width="8.33203125" bestFit="1" customWidth="1"/>
    <col min="1118" max="1118" width="17.5546875" bestFit="1" customWidth="1"/>
    <col min="1119" max="1119" width="7" bestFit="1" customWidth="1"/>
    <col min="1120" max="1120" width="12" bestFit="1" customWidth="1"/>
    <col min="1121" max="1121" width="6.77734375" bestFit="1" customWidth="1"/>
    <col min="1122" max="1122" width="12" bestFit="1" customWidth="1"/>
    <col min="1123" max="1123" width="13.5546875" bestFit="1" customWidth="1"/>
    <col min="1124" max="1124" width="20.109375" bestFit="1" customWidth="1"/>
    <col min="1125" max="1125" width="9.109375" bestFit="1" customWidth="1"/>
    <col min="1126" max="1126" width="4.44140625" bestFit="1" customWidth="1"/>
    <col min="1127" max="1127" width="7" bestFit="1" customWidth="1"/>
    <col min="1128" max="1128" width="16.88671875" bestFit="1" customWidth="1"/>
    <col min="1129" max="1129" width="12.77734375" bestFit="1" customWidth="1"/>
    <col min="1130" max="1130" width="12.5546875" bestFit="1" customWidth="1"/>
    <col min="1131" max="1131" width="16.5546875" bestFit="1" customWidth="1"/>
    <col min="1132" max="1132" width="14.109375" bestFit="1" customWidth="1"/>
    <col min="1133" max="1133" width="18.44140625" bestFit="1" customWidth="1"/>
    <col min="1134" max="1134" width="12.109375" bestFit="1" customWidth="1"/>
    <col min="1135" max="1135" width="19" bestFit="1" customWidth="1"/>
    <col min="1136" max="1136" width="18" bestFit="1" customWidth="1"/>
    <col min="1137" max="1137" width="14" bestFit="1" customWidth="1"/>
    <col min="1138" max="1138" width="10.88671875" bestFit="1" customWidth="1"/>
    <col min="1139" max="1139" width="6" bestFit="1" customWidth="1"/>
    <col min="1140" max="1140" width="12" bestFit="1" customWidth="1"/>
    <col min="1141" max="1141" width="21.44140625" bestFit="1" customWidth="1"/>
    <col min="1142" max="1142" width="6.5546875" bestFit="1" customWidth="1"/>
    <col min="1143" max="1143" width="7.88671875" bestFit="1" customWidth="1"/>
    <col min="1144" max="1144" width="12" bestFit="1" customWidth="1"/>
    <col min="1145" max="1145" width="12.88671875" bestFit="1" customWidth="1"/>
    <col min="1146" max="1146" width="6.33203125" bestFit="1" customWidth="1"/>
    <col min="1147" max="1147" width="12" bestFit="1" customWidth="1"/>
    <col min="1148" max="1148" width="22.88671875" bestFit="1" customWidth="1"/>
    <col min="1149" max="1149" width="12.88671875" bestFit="1" customWidth="1"/>
    <col min="1150" max="1150" width="14.33203125" bestFit="1" customWidth="1"/>
    <col min="1151" max="1151" width="7.5546875" bestFit="1" customWidth="1"/>
    <col min="1152" max="1152" width="17.88671875" bestFit="1" customWidth="1"/>
    <col min="1153" max="1153" width="16.6640625" bestFit="1" customWidth="1"/>
    <col min="1154" max="1154" width="16.88671875" bestFit="1" customWidth="1"/>
    <col min="1155" max="1155" width="12" bestFit="1" customWidth="1"/>
    <col min="1156" max="1156" width="15.6640625" bestFit="1" customWidth="1"/>
    <col min="1157" max="1157" width="5.109375" bestFit="1" customWidth="1"/>
    <col min="1158" max="1158" width="12" bestFit="1" customWidth="1"/>
    <col min="1159" max="1159" width="5" bestFit="1" customWidth="1"/>
    <col min="1160" max="1160" width="14.44140625" bestFit="1" customWidth="1"/>
    <col min="1161" max="1161" width="7" bestFit="1" customWidth="1"/>
    <col min="1162" max="1162" width="10" bestFit="1" customWidth="1"/>
    <col min="1163" max="1163" width="11.5546875" bestFit="1" customWidth="1"/>
    <col min="1164" max="1164" width="12" bestFit="1" customWidth="1"/>
    <col min="1165" max="1165" width="21.109375" bestFit="1" customWidth="1"/>
    <col min="1166" max="1166" width="12.21875" bestFit="1" customWidth="1"/>
    <col min="1167" max="1168" width="14.77734375" bestFit="1" customWidth="1"/>
    <col min="1169" max="1169" width="13.44140625" bestFit="1" customWidth="1"/>
    <col min="1170" max="1170" width="14.33203125" bestFit="1" customWidth="1"/>
    <col min="1171" max="1171" width="13.88671875" bestFit="1" customWidth="1"/>
    <col min="1172" max="1172" width="15" bestFit="1" customWidth="1"/>
    <col min="1173" max="1173" width="9.88671875" bestFit="1" customWidth="1"/>
    <col min="1174" max="1174" width="10.21875" bestFit="1" customWidth="1"/>
    <col min="1175" max="1175" width="20.77734375" bestFit="1" customWidth="1"/>
    <col min="1176" max="1176" width="19.109375" bestFit="1" customWidth="1"/>
    <col min="1177" max="1177" width="13.77734375" bestFit="1" customWidth="1"/>
    <col min="1178" max="1178" width="15.109375" bestFit="1" customWidth="1"/>
    <col min="1179" max="1179" width="11.33203125" bestFit="1" customWidth="1"/>
    <col min="1180" max="1181" width="14.109375" bestFit="1" customWidth="1"/>
    <col min="1182" max="1182" width="15" bestFit="1" customWidth="1"/>
    <col min="1183" max="1183" width="6.5546875" bestFit="1" customWidth="1"/>
    <col min="1184" max="1184" width="10.6640625" bestFit="1" customWidth="1"/>
    <col min="1185" max="1185" width="14.6640625" bestFit="1" customWidth="1"/>
    <col min="1186" max="1186" width="15" bestFit="1" customWidth="1"/>
    <col min="1187" max="1187" width="14.6640625" bestFit="1" customWidth="1"/>
    <col min="1189" max="1189" width="12.44140625" bestFit="1" customWidth="1"/>
    <col min="1190" max="1190" width="13.33203125" bestFit="1" customWidth="1"/>
    <col min="1191" max="1191" width="24.109375" bestFit="1" customWidth="1"/>
    <col min="1192" max="1192" width="25.88671875" bestFit="1" customWidth="1"/>
    <col min="1193" max="1193" width="12" bestFit="1" customWidth="1"/>
    <col min="1194" max="1194" width="10.109375" bestFit="1" customWidth="1"/>
    <col min="1195" max="1195" width="14.77734375" bestFit="1" customWidth="1"/>
    <col min="1196" max="1196" width="5.77734375" bestFit="1" customWidth="1"/>
    <col min="1197" max="1197" width="9.21875" bestFit="1" customWidth="1"/>
    <col min="1198" max="1198" width="12" bestFit="1" customWidth="1"/>
    <col min="1199" max="1199" width="14.21875" bestFit="1" customWidth="1"/>
    <col min="1200" max="1200" width="15.21875" bestFit="1" customWidth="1"/>
    <col min="1201" max="1201" width="12.109375" bestFit="1" customWidth="1"/>
    <col min="1202" max="1202" width="26.77734375" bestFit="1" customWidth="1"/>
    <col min="1203" max="1203" width="14.109375" bestFit="1" customWidth="1"/>
    <col min="1204" max="1204" width="12.21875" bestFit="1" customWidth="1"/>
    <col min="1205" max="1205" width="11" bestFit="1" customWidth="1"/>
    <col min="1206" max="1206" width="12" bestFit="1" customWidth="1"/>
    <col min="1207" max="1207" width="14.44140625" bestFit="1" customWidth="1"/>
    <col min="1208" max="1208" width="16" bestFit="1" customWidth="1"/>
    <col min="1209" max="1209" width="15.6640625" bestFit="1" customWidth="1"/>
    <col min="1210" max="1210" width="12.21875" bestFit="1" customWidth="1"/>
    <col min="1211" max="1212" width="15.33203125" bestFit="1" customWidth="1"/>
    <col min="1213" max="1213" width="16.109375" bestFit="1" customWidth="1"/>
    <col min="1214" max="1214" width="7.44140625" bestFit="1" customWidth="1"/>
    <col min="1215" max="1215" width="6" bestFit="1" customWidth="1"/>
    <col min="1216" max="1216" width="13.33203125" bestFit="1" customWidth="1"/>
    <col min="1217" max="1217" width="13.88671875" bestFit="1" customWidth="1"/>
    <col min="1218" max="1218" width="6.21875" bestFit="1" customWidth="1"/>
    <col min="1219" max="1219" width="12" bestFit="1" customWidth="1"/>
    <col min="1220" max="1220" width="12.88671875" bestFit="1" customWidth="1"/>
    <col min="1221" max="1221" width="8" bestFit="1" customWidth="1"/>
    <col min="1222" max="1222" width="12.6640625" bestFit="1" customWidth="1"/>
    <col min="1223" max="1223" width="11.6640625" bestFit="1" customWidth="1"/>
    <col min="1224" max="1224" width="16.44140625" bestFit="1" customWidth="1"/>
    <col min="1225" max="1225" width="22.33203125" bestFit="1" customWidth="1"/>
    <col min="1226" max="1226" width="14" bestFit="1" customWidth="1"/>
    <col min="1227" max="1227" width="16.44140625" bestFit="1" customWidth="1"/>
    <col min="1228" max="1228" width="12" bestFit="1" customWidth="1"/>
    <col min="1229" max="1229" width="14.109375" bestFit="1" customWidth="1"/>
    <col min="1230" max="1230" width="14.77734375" bestFit="1" customWidth="1"/>
    <col min="1231" max="1231" width="11.109375" bestFit="1" customWidth="1"/>
    <col min="1232" max="1232" width="11.6640625" bestFit="1" customWidth="1"/>
    <col min="1233" max="1233" width="12" bestFit="1" customWidth="1"/>
    <col min="1234" max="1234" width="10.6640625" bestFit="1" customWidth="1"/>
    <col min="1235" max="1235" width="7.21875" bestFit="1" customWidth="1"/>
    <col min="1236" max="1236" width="9.77734375" bestFit="1" customWidth="1"/>
    <col min="1237" max="1237" width="11.5546875" bestFit="1" customWidth="1"/>
    <col min="1238" max="1238" width="16.6640625" bestFit="1" customWidth="1"/>
    <col min="1239" max="1239" width="15.77734375" bestFit="1" customWidth="1"/>
    <col min="1240" max="1240" width="15.88671875" bestFit="1" customWidth="1"/>
    <col min="1241" max="1241" width="12" bestFit="1" customWidth="1"/>
    <col min="1242" max="1242" width="9.77734375" bestFit="1" customWidth="1"/>
    <col min="1243" max="1243" width="16.33203125" bestFit="1" customWidth="1"/>
    <col min="1244" max="1245" width="12" bestFit="1" customWidth="1"/>
    <col min="1246" max="1246" width="11.33203125" bestFit="1" customWidth="1"/>
    <col min="1247" max="1247" width="12" bestFit="1" customWidth="1"/>
    <col min="1248" max="1248" width="15" bestFit="1" customWidth="1"/>
    <col min="1249" max="1249" width="6" bestFit="1" customWidth="1"/>
    <col min="1250" max="1250" width="12.33203125" bestFit="1" customWidth="1"/>
    <col min="1251" max="1251" width="12" bestFit="1" customWidth="1"/>
    <col min="1252" max="1252" width="9.5546875" bestFit="1" customWidth="1"/>
    <col min="1253" max="1253" width="31.77734375" bestFit="1" customWidth="1"/>
    <col min="1254" max="1254" width="8.21875" bestFit="1" customWidth="1"/>
    <col min="1255" max="1255" width="12" bestFit="1" customWidth="1"/>
    <col min="1256" max="1256" width="14.109375" bestFit="1" customWidth="1"/>
    <col min="1257" max="1257" width="24" bestFit="1" customWidth="1"/>
    <col min="1258" max="1258" width="16.6640625" bestFit="1" customWidth="1"/>
    <col min="1259" max="1259" width="23.44140625" bestFit="1" customWidth="1"/>
    <col min="1260" max="1260" width="17.5546875" bestFit="1" customWidth="1"/>
    <col min="1261" max="1261" width="10.33203125" bestFit="1" customWidth="1"/>
    <col min="1262" max="1262" width="8.109375" bestFit="1" customWidth="1"/>
    <col min="1263" max="1263" width="12" bestFit="1" customWidth="1"/>
    <col min="1264" max="1264" width="11.109375" bestFit="1" customWidth="1"/>
    <col min="1265" max="1265" width="12" bestFit="1" customWidth="1"/>
    <col min="1266" max="1266" width="12.6640625" bestFit="1" customWidth="1"/>
    <col min="1267" max="1267" width="18.44140625" bestFit="1" customWidth="1"/>
    <col min="1268" max="1268" width="18.6640625" bestFit="1" customWidth="1"/>
    <col min="1269" max="1269" width="17.77734375" bestFit="1" customWidth="1"/>
    <col min="1270" max="1270" width="13.5546875" bestFit="1" customWidth="1"/>
    <col min="1271" max="1271" width="17.21875" bestFit="1" customWidth="1"/>
    <col min="1272" max="1272" width="12" bestFit="1" customWidth="1"/>
    <col min="1273" max="1273" width="20.21875" bestFit="1" customWidth="1"/>
    <col min="1274" max="1275" width="12" bestFit="1" customWidth="1"/>
    <col min="1276" max="1276" width="9.44140625" bestFit="1" customWidth="1"/>
    <col min="1277" max="1277" width="16.77734375" bestFit="1" customWidth="1"/>
    <col min="1278" max="1278" width="18.77734375" bestFit="1" customWidth="1"/>
    <col min="1279" max="1279" width="19.33203125" bestFit="1" customWidth="1"/>
    <col min="1280" max="1280" width="7.6640625" bestFit="1" customWidth="1"/>
    <col min="1281" max="1281" width="6.88671875" bestFit="1" customWidth="1"/>
    <col min="1282" max="1282" width="16.77734375" bestFit="1" customWidth="1"/>
    <col min="1283" max="1283" width="13.88671875" bestFit="1" customWidth="1"/>
    <col min="1284" max="1285" width="12" bestFit="1" customWidth="1"/>
    <col min="1286" max="1286" width="20.77734375" bestFit="1" customWidth="1"/>
    <col min="1287" max="1287" width="14.44140625" bestFit="1" customWidth="1"/>
    <col min="1288" max="1288" width="15.109375" bestFit="1" customWidth="1"/>
    <col min="1289" max="1289" width="23.6640625" bestFit="1" customWidth="1"/>
    <col min="1290" max="1290" width="5" bestFit="1" customWidth="1"/>
    <col min="1291" max="1291" width="13.44140625" bestFit="1" customWidth="1"/>
    <col min="1292" max="1292" width="11.44140625" bestFit="1" customWidth="1"/>
    <col min="1293" max="1293" width="23.109375" bestFit="1" customWidth="1"/>
    <col min="1294" max="1294" width="7.6640625" bestFit="1" customWidth="1"/>
    <col min="1295" max="1295" width="25.6640625" bestFit="1" customWidth="1"/>
    <col min="1296" max="1296" width="18.6640625" bestFit="1" customWidth="1"/>
    <col min="1297" max="1297" width="11.21875" bestFit="1" customWidth="1"/>
    <col min="1298" max="1300" width="12" bestFit="1" customWidth="1"/>
    <col min="1301" max="1301" width="24.44140625" bestFit="1" customWidth="1"/>
    <col min="1302" max="1302" width="13.77734375" bestFit="1" customWidth="1"/>
    <col min="1303" max="1303" width="11.44140625" bestFit="1" customWidth="1"/>
    <col min="1304" max="1304" width="13.77734375" bestFit="1" customWidth="1"/>
    <col min="1305" max="1305" width="19.88671875" bestFit="1" customWidth="1"/>
    <col min="1306" max="1306" width="27.33203125" bestFit="1" customWidth="1"/>
    <col min="1307" max="1307" width="19.21875" bestFit="1" customWidth="1"/>
    <col min="1308" max="1308" width="14.44140625" bestFit="1" customWidth="1"/>
    <col min="1309" max="1309" width="19" bestFit="1" customWidth="1"/>
    <col min="1310" max="1310" width="18.109375" bestFit="1" customWidth="1"/>
    <col min="1311" max="1311" width="17.44140625" bestFit="1" customWidth="1"/>
    <col min="1312" max="1312" width="18.6640625" bestFit="1" customWidth="1"/>
    <col min="1313" max="1313" width="15.109375" bestFit="1" customWidth="1"/>
    <col min="1314" max="1314" width="16.88671875" bestFit="1" customWidth="1"/>
    <col min="1315" max="1315" width="12" bestFit="1" customWidth="1"/>
    <col min="1316" max="1316" width="16.6640625" bestFit="1" customWidth="1"/>
    <col min="1317" max="1317" width="15.44140625" bestFit="1" customWidth="1"/>
    <col min="1318" max="1319" width="12" bestFit="1" customWidth="1"/>
    <col min="1320" max="1320" width="10.33203125" bestFit="1" customWidth="1"/>
    <col min="1321" max="1321" width="17.21875" bestFit="1" customWidth="1"/>
    <col min="1322" max="1322" width="10.5546875" bestFit="1" customWidth="1"/>
    <col min="1323" max="1323" width="14.44140625" bestFit="1" customWidth="1"/>
    <col min="1324" max="1324" width="10.6640625" bestFit="1" customWidth="1"/>
    <col min="1325" max="1325" width="13.6640625" bestFit="1" customWidth="1"/>
    <col min="1326" max="1326" width="6" bestFit="1" customWidth="1"/>
    <col min="1327" max="1327" width="11.44140625" bestFit="1" customWidth="1"/>
    <col min="1328" max="1328" width="17.88671875" bestFit="1" customWidth="1"/>
    <col min="1329" max="1329" width="14.5546875" bestFit="1" customWidth="1"/>
    <col min="1330" max="1330" width="12.77734375" bestFit="1" customWidth="1"/>
    <col min="1331" max="1331" width="10.88671875" bestFit="1" customWidth="1"/>
    <col min="1332" max="1332" width="9.109375" bestFit="1" customWidth="1"/>
    <col min="1333" max="1333" width="9.21875" bestFit="1" customWidth="1"/>
    <col min="1334" max="1334" width="8.6640625" bestFit="1" customWidth="1"/>
    <col min="1335" max="1335" width="12" bestFit="1" customWidth="1"/>
    <col min="1336" max="1336" width="12.44140625" bestFit="1" customWidth="1"/>
    <col min="1337" max="1337" width="10.88671875" bestFit="1" customWidth="1"/>
    <col min="1338" max="1338" width="18.5546875" bestFit="1" customWidth="1"/>
    <col min="1339" max="1339" width="9.109375" bestFit="1" customWidth="1"/>
    <col min="1340" max="1340" width="7.21875" bestFit="1" customWidth="1"/>
    <col min="1341" max="1341" width="9.77734375" bestFit="1" customWidth="1"/>
    <col min="1342" max="1342" width="12.88671875" bestFit="1" customWidth="1"/>
    <col min="1343" max="1343" width="9" bestFit="1" customWidth="1"/>
    <col min="1344" max="1344" width="12" bestFit="1" customWidth="1"/>
    <col min="1345" max="1345" width="18.109375" bestFit="1" customWidth="1"/>
    <col min="1346" max="1346" width="7.77734375" bestFit="1" customWidth="1"/>
    <col min="1347" max="1347" width="13.44140625" bestFit="1" customWidth="1"/>
    <col min="1348" max="1348" width="11.6640625" bestFit="1" customWidth="1"/>
    <col min="1349" max="1349" width="17.88671875" bestFit="1" customWidth="1"/>
    <col min="1350" max="1350" width="21.6640625" bestFit="1" customWidth="1"/>
    <col min="1351" max="1351" width="13.33203125" bestFit="1" customWidth="1"/>
    <col min="1352" max="1352" width="10.21875" bestFit="1" customWidth="1"/>
    <col min="1353" max="1353" width="7" bestFit="1" customWidth="1"/>
    <col min="1354" max="1354" width="15.44140625" bestFit="1" customWidth="1"/>
    <col min="1355" max="1355" width="18.6640625" bestFit="1" customWidth="1"/>
    <col min="1356" max="1356" width="13.33203125" bestFit="1" customWidth="1"/>
    <col min="1357" max="1357" width="14.44140625" bestFit="1" customWidth="1"/>
    <col min="1358" max="1358" width="12.33203125" bestFit="1" customWidth="1"/>
    <col min="1359" max="1359" width="15.109375" bestFit="1" customWidth="1"/>
    <col min="1360" max="1360" width="16.21875" bestFit="1" customWidth="1"/>
    <col min="1361" max="1361" width="12.6640625" bestFit="1" customWidth="1"/>
    <col min="1362" max="1362" width="15.77734375" bestFit="1" customWidth="1"/>
    <col min="1363" max="1363" width="6.109375" bestFit="1" customWidth="1"/>
    <col min="1364" max="1364" width="11.88671875" bestFit="1" customWidth="1"/>
    <col min="1365" max="1365" width="17.5546875" bestFit="1" customWidth="1"/>
    <col min="1366" max="1366" width="17.6640625" bestFit="1" customWidth="1"/>
    <col min="1367" max="1367" width="18.21875" bestFit="1" customWidth="1"/>
    <col min="1368" max="1368" width="19.5546875" bestFit="1" customWidth="1"/>
    <col min="1369" max="1373" width="12" bestFit="1" customWidth="1"/>
    <col min="1374" max="1374" width="16.77734375" bestFit="1" customWidth="1"/>
    <col min="1375" max="1375" width="20.33203125" bestFit="1" customWidth="1"/>
    <col min="1376" max="1376" width="12.33203125" bestFit="1" customWidth="1"/>
    <col min="1377" max="1377" width="15.88671875" bestFit="1" customWidth="1"/>
    <col min="1378" max="1378" width="17" bestFit="1" customWidth="1"/>
    <col min="1379" max="1379" width="12.44140625" bestFit="1" customWidth="1"/>
    <col min="1380" max="1380" width="12.21875" bestFit="1" customWidth="1"/>
    <col min="1381" max="1381" width="9.109375" bestFit="1" customWidth="1"/>
    <col min="1382" max="1382" width="15.44140625" bestFit="1" customWidth="1"/>
    <col min="1383" max="1386" width="12" bestFit="1" customWidth="1"/>
    <col min="1387" max="1387" width="18" bestFit="1" customWidth="1"/>
    <col min="1388" max="1388" width="14.21875" bestFit="1" customWidth="1"/>
    <col min="1389" max="1389" width="16.33203125" bestFit="1" customWidth="1"/>
    <col min="1390" max="1390" width="18" bestFit="1" customWidth="1"/>
    <col min="1391" max="1391" width="11.21875" bestFit="1" customWidth="1"/>
    <col min="1392" max="1392" width="14.109375" bestFit="1" customWidth="1"/>
    <col min="1393" max="1393" width="15.109375" bestFit="1" customWidth="1"/>
    <col min="1394" max="1394" width="9" bestFit="1" customWidth="1"/>
    <col min="1395" max="1395" width="6" bestFit="1" customWidth="1"/>
    <col min="1396" max="1396" width="16.33203125" bestFit="1" customWidth="1"/>
    <col min="1397" max="1397" width="6.6640625" bestFit="1" customWidth="1"/>
    <col min="1398" max="1398" width="12" bestFit="1" customWidth="1"/>
    <col min="1399" max="1399" width="7.44140625" bestFit="1" customWidth="1"/>
    <col min="1400" max="1400" width="4.77734375" bestFit="1" customWidth="1"/>
    <col min="1401" max="1401" width="12" bestFit="1" customWidth="1"/>
    <col min="1402" max="1402" width="24.77734375" bestFit="1" customWidth="1"/>
    <col min="1403" max="1403" width="10.88671875" bestFit="1" customWidth="1"/>
    <col min="1404" max="1404" width="12.109375" bestFit="1" customWidth="1"/>
    <col min="1405" max="1405" width="6.44140625" bestFit="1" customWidth="1"/>
    <col min="1406" max="1406" width="12.88671875" bestFit="1" customWidth="1"/>
    <col min="1407" max="1407" width="17.21875" bestFit="1" customWidth="1"/>
    <col min="1408" max="1408" width="9.88671875" bestFit="1" customWidth="1"/>
    <col min="1409" max="1409" width="17.77734375" bestFit="1" customWidth="1"/>
    <col min="1410" max="1410" width="12.21875" bestFit="1" customWidth="1"/>
    <col min="1411" max="1411" width="30.6640625" bestFit="1" customWidth="1"/>
    <col min="1412" max="1412" width="22" bestFit="1" customWidth="1"/>
    <col min="1413" max="1414" width="12" bestFit="1" customWidth="1"/>
    <col min="1415" max="1415" width="8.109375" bestFit="1" customWidth="1"/>
    <col min="1416" max="1416" width="8" bestFit="1" customWidth="1"/>
    <col min="1417" max="1417" width="15.109375" bestFit="1" customWidth="1"/>
    <col min="1418" max="1418" width="9.21875" bestFit="1" customWidth="1"/>
    <col min="1419" max="1419" width="12" bestFit="1" customWidth="1"/>
    <col min="1420" max="1420" width="11.21875" bestFit="1" customWidth="1"/>
    <col min="1421" max="1421" width="8.44140625" bestFit="1" customWidth="1"/>
    <col min="1422" max="1422" width="16.5546875" bestFit="1" customWidth="1"/>
    <col min="1423" max="1423" width="12.5546875" bestFit="1" customWidth="1"/>
    <col min="1424" max="1424" width="5.88671875" bestFit="1" customWidth="1"/>
    <col min="1425" max="1425" width="15.21875" bestFit="1" customWidth="1"/>
    <col min="1426" max="1426" width="12.21875" bestFit="1" customWidth="1"/>
    <col min="1427" max="1427" width="12" bestFit="1" customWidth="1"/>
    <col min="1428" max="1428" width="14" bestFit="1" customWidth="1"/>
    <col min="1429" max="1429" width="8.77734375" bestFit="1" customWidth="1"/>
    <col min="1430" max="1430" width="15.44140625" bestFit="1" customWidth="1"/>
    <col min="1431" max="1431" width="12.77734375" bestFit="1" customWidth="1"/>
    <col min="1432" max="1432" width="12" bestFit="1" customWidth="1"/>
    <col min="1433" max="1433" width="6.109375" bestFit="1" customWidth="1"/>
    <col min="1434" max="1434" width="12" bestFit="1" customWidth="1"/>
    <col min="1435" max="1435" width="6.88671875" bestFit="1" customWidth="1"/>
    <col min="1436" max="1436" width="12" bestFit="1" customWidth="1"/>
    <col min="1437" max="1437" width="21.6640625" bestFit="1" customWidth="1"/>
    <col min="1438" max="1438" width="26.44140625" bestFit="1" customWidth="1"/>
    <col min="1439" max="1439" width="13.6640625" bestFit="1" customWidth="1"/>
    <col min="1440" max="1440" width="15.6640625" bestFit="1" customWidth="1"/>
    <col min="1441" max="1441" width="19.44140625" bestFit="1" customWidth="1"/>
    <col min="1442" max="1442" width="23.21875" bestFit="1" customWidth="1"/>
    <col min="1443" max="1443" width="23.44140625" bestFit="1" customWidth="1"/>
    <col min="1444" max="1444" width="15.33203125" bestFit="1" customWidth="1"/>
    <col min="1445" max="1445" width="14.6640625" bestFit="1" customWidth="1"/>
    <col min="1446" max="1446" width="15.6640625" bestFit="1" customWidth="1"/>
    <col min="1447" max="1447" width="14.109375" bestFit="1" customWidth="1"/>
    <col min="1448" max="1448" width="15.77734375" bestFit="1" customWidth="1"/>
    <col min="1449" max="1449" width="13.5546875" bestFit="1" customWidth="1"/>
    <col min="1450" max="1450" width="18.33203125" bestFit="1" customWidth="1"/>
    <col min="1451" max="1451" width="15.33203125" bestFit="1" customWidth="1"/>
    <col min="1452" max="1452" width="12" bestFit="1" customWidth="1"/>
    <col min="1453" max="1453" width="16.44140625" bestFit="1" customWidth="1"/>
    <col min="1454" max="1454" width="12" bestFit="1" customWidth="1"/>
    <col min="1455" max="1455" width="12.77734375" bestFit="1" customWidth="1"/>
    <col min="1456" max="1456" width="13.88671875" bestFit="1" customWidth="1"/>
    <col min="1457" max="1457" width="13.77734375" bestFit="1" customWidth="1"/>
    <col min="1458" max="1458" width="19.5546875" bestFit="1" customWidth="1"/>
    <col min="1459" max="1460" width="19.109375" bestFit="1" customWidth="1"/>
    <col min="1461" max="1461" width="9.109375" bestFit="1" customWidth="1"/>
    <col min="1462" max="1462" width="12" bestFit="1" customWidth="1"/>
    <col min="1463" max="1463" width="11.6640625" bestFit="1" customWidth="1"/>
    <col min="1464" max="1464" width="11.88671875" bestFit="1" customWidth="1"/>
    <col min="1465" max="1465" width="10.109375" bestFit="1" customWidth="1"/>
    <col min="1466" max="1466" width="12.109375" bestFit="1" customWidth="1"/>
    <col min="1467" max="1467" width="14.5546875" bestFit="1" customWidth="1"/>
    <col min="1468" max="1468" width="5.44140625" bestFit="1" customWidth="1"/>
    <col min="1469" max="1469" width="12" bestFit="1" customWidth="1"/>
    <col min="1470" max="1470" width="14.5546875" bestFit="1" customWidth="1"/>
    <col min="1471" max="1471" width="12" bestFit="1" customWidth="1"/>
    <col min="1472" max="1472" width="18.109375" bestFit="1" customWidth="1"/>
    <col min="1473" max="1473" width="11.33203125" bestFit="1" customWidth="1"/>
    <col min="1474" max="1474" width="12.77734375" bestFit="1" customWidth="1"/>
    <col min="1475" max="1475" width="12" bestFit="1" customWidth="1"/>
    <col min="1476" max="1476" width="16.21875" bestFit="1" customWidth="1"/>
    <col min="1477" max="1477" width="5.33203125" bestFit="1" customWidth="1"/>
    <col min="1478" max="1478" width="9.33203125" bestFit="1" customWidth="1"/>
    <col min="1479" max="1480" width="17.6640625" bestFit="1" customWidth="1"/>
    <col min="1481" max="1481" width="12" bestFit="1" customWidth="1"/>
    <col min="1482" max="1482" width="7.44140625" bestFit="1" customWidth="1"/>
    <col min="1483" max="1484" width="12" bestFit="1" customWidth="1"/>
    <col min="1485" max="1485" width="22.44140625" bestFit="1" customWidth="1"/>
    <col min="1486" max="1486" width="12" bestFit="1" customWidth="1"/>
    <col min="1487" max="1487" width="18.21875" bestFit="1" customWidth="1"/>
    <col min="1488" max="1488" width="14.44140625" bestFit="1" customWidth="1"/>
    <col min="1489" max="1489" width="9.109375" bestFit="1" customWidth="1"/>
    <col min="1490" max="1490" width="5.33203125" bestFit="1" customWidth="1"/>
    <col min="1491" max="1491" width="15.5546875" bestFit="1" customWidth="1"/>
    <col min="1492" max="1492" width="12.88671875" bestFit="1" customWidth="1"/>
    <col min="1493" max="1493" width="12" bestFit="1" customWidth="1"/>
    <col min="1494" max="1494" width="12.6640625" bestFit="1" customWidth="1"/>
    <col min="1495" max="1495" width="16.44140625" bestFit="1" customWidth="1"/>
    <col min="1496" max="1496" width="15.5546875" bestFit="1" customWidth="1"/>
    <col min="1497" max="1497" width="20.44140625" bestFit="1" customWidth="1"/>
    <col min="1498" max="1498" width="22.5546875" bestFit="1" customWidth="1"/>
    <col min="1499" max="1499" width="13.44140625" bestFit="1" customWidth="1"/>
    <col min="1500" max="1500" width="22" bestFit="1" customWidth="1"/>
    <col min="1501" max="1501" width="22.88671875" bestFit="1" customWidth="1"/>
    <col min="1502" max="1502" width="12.77734375" bestFit="1" customWidth="1"/>
    <col min="1503" max="1503" width="13.6640625" bestFit="1" customWidth="1"/>
    <col min="1505" max="1505" width="16.33203125" bestFit="1" customWidth="1"/>
    <col min="1506" max="1506" width="13.33203125" bestFit="1" customWidth="1"/>
    <col min="1507" max="1507" width="13.5546875" bestFit="1" customWidth="1"/>
    <col min="1508" max="1508" width="13.88671875" bestFit="1" customWidth="1"/>
    <col min="1509" max="1509" width="12" bestFit="1" customWidth="1"/>
    <col min="1510" max="1510" width="15.88671875" bestFit="1" customWidth="1"/>
    <col min="1511" max="1511" width="12.6640625" bestFit="1" customWidth="1"/>
    <col min="1512" max="1512" width="7.77734375" bestFit="1" customWidth="1"/>
    <col min="1513" max="1513" width="26.88671875" bestFit="1" customWidth="1"/>
    <col min="1514" max="1514" width="12" bestFit="1" customWidth="1"/>
    <col min="1515" max="1515" width="9.33203125" bestFit="1" customWidth="1"/>
    <col min="1516" max="1516" width="15.44140625" bestFit="1" customWidth="1"/>
    <col min="1517" max="1518" width="12" bestFit="1" customWidth="1"/>
    <col min="1519" max="1519" width="15.21875" bestFit="1" customWidth="1"/>
    <col min="1520" max="1520" width="12" bestFit="1" customWidth="1"/>
    <col min="1521" max="1521" width="8.6640625" bestFit="1" customWidth="1"/>
    <col min="1522" max="1522" width="16.33203125" bestFit="1" customWidth="1"/>
    <col min="1523" max="1523" width="15.21875" bestFit="1" customWidth="1"/>
    <col min="1524" max="1524" width="26.33203125" bestFit="1" customWidth="1"/>
    <col min="1525" max="1525" width="10.5546875" bestFit="1" customWidth="1"/>
    <col min="1526" max="1526" width="12" bestFit="1" customWidth="1"/>
    <col min="1527" max="1527" width="12.88671875" bestFit="1" customWidth="1"/>
    <col min="1528" max="1528" width="12" bestFit="1" customWidth="1"/>
    <col min="1529" max="1529" width="13.44140625" bestFit="1" customWidth="1"/>
    <col min="1530" max="1530" width="12" bestFit="1" customWidth="1"/>
    <col min="1531" max="1531" width="9.44140625" bestFit="1" customWidth="1"/>
    <col min="1532" max="1532" width="10.6640625" bestFit="1" customWidth="1"/>
    <col min="1533" max="1533" width="9.44140625" bestFit="1" customWidth="1"/>
    <col min="1534" max="1535" width="12" bestFit="1" customWidth="1"/>
    <col min="1536" max="1536" width="10.109375" bestFit="1" customWidth="1"/>
    <col min="1537" max="1537" width="13.88671875" bestFit="1" customWidth="1"/>
    <col min="1538" max="1538" width="12" bestFit="1" customWidth="1"/>
    <col min="1539" max="1539" width="23.33203125" bestFit="1" customWidth="1"/>
    <col min="1540" max="1540" width="17.6640625" bestFit="1" customWidth="1"/>
    <col min="1541" max="1541" width="15" bestFit="1" customWidth="1"/>
    <col min="1542" max="1542" width="9" bestFit="1" customWidth="1"/>
    <col min="1543" max="1543" width="15.33203125" bestFit="1" customWidth="1"/>
    <col min="1544" max="1544" width="7.21875" bestFit="1" customWidth="1"/>
    <col min="1545" max="1545" width="12.5546875" bestFit="1" customWidth="1"/>
    <col min="1546" max="1546" width="9.88671875" bestFit="1" customWidth="1"/>
    <col min="1547" max="1547" width="13.109375" bestFit="1" customWidth="1"/>
    <col min="1548" max="1548" width="22.33203125" bestFit="1" customWidth="1"/>
    <col min="1549" max="1549" width="17.5546875" bestFit="1" customWidth="1"/>
    <col min="1550" max="1550" width="18.6640625" bestFit="1" customWidth="1"/>
    <col min="1551" max="1551" width="24.5546875" bestFit="1" customWidth="1"/>
  </cols>
  <sheetData>
    <row r="1" spans="1:4" x14ac:dyDescent="0.3">
      <c r="A1" s="1" t="s">
        <v>36</v>
      </c>
      <c r="B1" s="1" t="s">
        <v>22</v>
      </c>
    </row>
    <row r="2" spans="1:4" x14ac:dyDescent="0.3">
      <c r="A2" s="1" t="s">
        <v>0</v>
      </c>
      <c r="B2" t="s">
        <v>1</v>
      </c>
      <c r="C2" t="s">
        <v>2</v>
      </c>
      <c r="D2" t="s">
        <v>3</v>
      </c>
    </row>
    <row r="3" spans="1:4" x14ac:dyDescent="0.3">
      <c r="A3" s="2" t="s">
        <v>13</v>
      </c>
      <c r="C3">
        <v>33</v>
      </c>
      <c r="D3">
        <v>33</v>
      </c>
    </row>
    <row r="4" spans="1:4" x14ac:dyDescent="0.3">
      <c r="A4" s="2" t="s">
        <v>4</v>
      </c>
      <c r="B4">
        <v>65</v>
      </c>
      <c r="D4">
        <v>65</v>
      </c>
    </row>
    <row r="5" spans="1:4" x14ac:dyDescent="0.3">
      <c r="A5" s="2" t="s">
        <v>14</v>
      </c>
      <c r="C5">
        <v>52</v>
      </c>
      <c r="D5">
        <v>52</v>
      </c>
    </row>
    <row r="6" spans="1:4" x14ac:dyDescent="0.3">
      <c r="A6" s="2" t="s">
        <v>5</v>
      </c>
      <c r="B6">
        <v>47</v>
      </c>
      <c r="D6">
        <v>47</v>
      </c>
    </row>
    <row r="7" spans="1:4" x14ac:dyDescent="0.3">
      <c r="A7" s="2" t="s">
        <v>15</v>
      </c>
      <c r="C7">
        <v>54</v>
      </c>
      <c r="D7">
        <v>54</v>
      </c>
    </row>
    <row r="8" spans="1:4" x14ac:dyDescent="0.3">
      <c r="A8" s="2" t="s">
        <v>16</v>
      </c>
      <c r="C8">
        <v>60</v>
      </c>
      <c r="D8">
        <v>60</v>
      </c>
    </row>
    <row r="9" spans="1:4" x14ac:dyDescent="0.3">
      <c r="A9" s="2" t="s">
        <v>17</v>
      </c>
      <c r="C9">
        <v>39</v>
      </c>
      <c r="D9">
        <v>39</v>
      </c>
    </row>
    <row r="10" spans="1:4" x14ac:dyDescent="0.3">
      <c r="A10" s="2" t="s">
        <v>18</v>
      </c>
      <c r="C10">
        <v>45</v>
      </c>
      <c r="D10">
        <v>45</v>
      </c>
    </row>
    <row r="11" spans="1:4" x14ac:dyDescent="0.3">
      <c r="A11" s="2" t="s">
        <v>6</v>
      </c>
      <c r="B11">
        <v>31</v>
      </c>
      <c r="D11">
        <v>31</v>
      </c>
    </row>
    <row r="12" spans="1:4" x14ac:dyDescent="0.3">
      <c r="A12" s="2" t="s">
        <v>7</v>
      </c>
      <c r="B12">
        <v>52</v>
      </c>
      <c r="C12">
        <v>38</v>
      </c>
      <c r="D12">
        <v>90</v>
      </c>
    </row>
    <row r="13" spans="1:4" x14ac:dyDescent="0.3">
      <c r="A13" s="2" t="s">
        <v>8</v>
      </c>
      <c r="B13">
        <v>39</v>
      </c>
      <c r="D13">
        <v>39</v>
      </c>
    </row>
    <row r="14" spans="1:4" x14ac:dyDescent="0.3">
      <c r="A14" s="2" t="s">
        <v>19</v>
      </c>
      <c r="C14">
        <v>46</v>
      </c>
      <c r="D14">
        <v>46</v>
      </c>
    </row>
    <row r="15" spans="1:4" x14ac:dyDescent="0.3">
      <c r="A15" s="2" t="s">
        <v>9</v>
      </c>
      <c r="B15">
        <v>45</v>
      </c>
      <c r="D15">
        <v>45</v>
      </c>
    </row>
    <row r="16" spans="1:4" x14ac:dyDescent="0.3">
      <c r="A16" s="2" t="s">
        <v>20</v>
      </c>
      <c r="C16">
        <v>68</v>
      </c>
      <c r="D16">
        <v>68</v>
      </c>
    </row>
    <row r="17" spans="1:4" x14ac:dyDescent="0.3">
      <c r="A17" s="2" t="s">
        <v>10</v>
      </c>
      <c r="B17">
        <v>49</v>
      </c>
      <c r="D17">
        <v>49</v>
      </c>
    </row>
    <row r="18" spans="1:4" x14ac:dyDescent="0.3">
      <c r="A18" s="2" t="s">
        <v>11</v>
      </c>
      <c r="B18">
        <v>58</v>
      </c>
      <c r="D18">
        <v>58</v>
      </c>
    </row>
    <row r="19" spans="1:4" x14ac:dyDescent="0.3">
      <c r="A19" s="2" t="s">
        <v>12</v>
      </c>
      <c r="B19">
        <v>52</v>
      </c>
      <c r="D19">
        <v>52</v>
      </c>
    </row>
    <row r="20" spans="1:4" x14ac:dyDescent="0.3">
      <c r="A20" s="2" t="s">
        <v>21</v>
      </c>
      <c r="C20">
        <v>49</v>
      </c>
      <c r="D20">
        <v>49</v>
      </c>
    </row>
    <row r="21" spans="1:4" x14ac:dyDescent="0.3">
      <c r="A21" s="2" t="s">
        <v>3</v>
      </c>
      <c r="B21">
        <v>438</v>
      </c>
      <c r="C21">
        <v>484</v>
      </c>
      <c r="D21">
        <v>922</v>
      </c>
    </row>
    <row r="28" spans="1:4" x14ac:dyDescent="0.3">
      <c r="A28" t="s">
        <v>36</v>
      </c>
    </row>
    <row r="29" spans="1:4" x14ac:dyDescent="0.3">
      <c r="A29">
        <v>922</v>
      </c>
    </row>
    <row r="36" spans="1:3" x14ac:dyDescent="0.3">
      <c r="A36" s="1" t="s">
        <v>36</v>
      </c>
      <c r="B36" s="1" t="s">
        <v>22</v>
      </c>
    </row>
    <row r="37" spans="1:3" x14ac:dyDescent="0.3">
      <c r="A37" s="1" t="s">
        <v>0</v>
      </c>
      <c r="B37" t="s">
        <v>39</v>
      </c>
      <c r="C37" t="s">
        <v>3</v>
      </c>
    </row>
    <row r="38" spans="1:3" x14ac:dyDescent="0.3">
      <c r="A38" s="2" t="s">
        <v>27</v>
      </c>
      <c r="B38">
        <v>299</v>
      </c>
      <c r="C38">
        <v>299</v>
      </c>
    </row>
    <row r="39" spans="1:3" x14ac:dyDescent="0.3">
      <c r="A39" s="2" t="s">
        <v>26</v>
      </c>
      <c r="B39">
        <v>269</v>
      </c>
      <c r="C39">
        <v>269</v>
      </c>
    </row>
    <row r="40" spans="1:3" x14ac:dyDescent="0.3">
      <c r="A40" s="2" t="s">
        <v>33</v>
      </c>
      <c r="B40">
        <v>266</v>
      </c>
      <c r="C40">
        <v>266</v>
      </c>
    </row>
    <row r="41" spans="1:3" x14ac:dyDescent="0.3">
      <c r="A41" s="2" t="s">
        <v>24</v>
      </c>
      <c r="B41">
        <v>209</v>
      </c>
      <c r="C41">
        <v>209</v>
      </c>
    </row>
    <row r="42" spans="1:3" x14ac:dyDescent="0.3">
      <c r="A42" s="2" t="s">
        <v>29</v>
      </c>
      <c r="B42">
        <v>207</v>
      </c>
      <c r="C42">
        <v>207</v>
      </c>
    </row>
    <row r="43" spans="1:3" x14ac:dyDescent="0.3">
      <c r="A43" s="2" t="s">
        <v>28</v>
      </c>
      <c r="B43">
        <v>202</v>
      </c>
      <c r="C43">
        <v>202</v>
      </c>
    </row>
    <row r="44" spans="1:3" x14ac:dyDescent="0.3">
      <c r="A44" s="2" t="s">
        <v>32</v>
      </c>
      <c r="B44">
        <v>198</v>
      </c>
      <c r="C44">
        <v>198</v>
      </c>
    </row>
    <row r="45" spans="1:3" x14ac:dyDescent="0.3">
      <c r="A45" s="2" t="s">
        <v>31</v>
      </c>
      <c r="B45">
        <v>195</v>
      </c>
      <c r="C45">
        <v>195</v>
      </c>
    </row>
    <row r="46" spans="1:3" x14ac:dyDescent="0.3">
      <c r="A46" s="2" t="s">
        <v>25</v>
      </c>
      <c r="B46">
        <v>186</v>
      </c>
      <c r="C46">
        <v>186</v>
      </c>
    </row>
    <row r="47" spans="1:3" x14ac:dyDescent="0.3">
      <c r="A47" s="2" t="s">
        <v>30</v>
      </c>
      <c r="B47">
        <v>185</v>
      </c>
      <c r="C47">
        <v>185</v>
      </c>
    </row>
    <row r="48" spans="1:3" x14ac:dyDescent="0.3">
      <c r="A48" s="2" t="s">
        <v>3</v>
      </c>
      <c r="B48">
        <v>765</v>
      </c>
      <c r="C48">
        <v>765</v>
      </c>
    </row>
    <row r="54" spans="1:1" x14ac:dyDescent="0.3">
      <c r="A54" t="s">
        <v>34</v>
      </c>
    </row>
    <row r="55" spans="1:1" x14ac:dyDescent="0.3">
      <c r="A55" s="3">
        <v>8.2339479392624746</v>
      </c>
    </row>
    <row r="59" spans="1:1" x14ac:dyDescent="0.3">
      <c r="A59" t="s">
        <v>35</v>
      </c>
    </row>
    <row r="60" spans="1:1" x14ac:dyDescent="0.3">
      <c r="A60" s="3">
        <v>15.334598698481539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3F8A-E888-4AB1-AEC4-B92E17E31A5F}">
  <sheetPr>
    <pageSetUpPr fitToPage="1"/>
  </sheetPr>
  <dimension ref="A1:AD25"/>
  <sheetViews>
    <sheetView tabSelected="1" topLeftCell="E1" zoomScale="93" zoomScaleNormal="93" zoomScaleSheetLayoutView="63" workbookViewId="0">
      <selection activeCell="O13" sqref="O13"/>
    </sheetView>
  </sheetViews>
  <sheetFormatPr defaultRowHeight="14.4" x14ac:dyDescent="0.3"/>
  <cols>
    <col min="12" max="12" width="8.88671875" customWidth="1"/>
    <col min="16" max="16" width="11.21875" customWidth="1"/>
  </cols>
  <sheetData>
    <row r="1" spans="1:30"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spans="1:3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30"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row>
    <row r="4" spans="1:3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30"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30"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30"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30" x14ac:dyDescent="0.3">
      <c r="A8" s="4"/>
      <c r="B8" s="4"/>
      <c r="C8" s="4"/>
      <c r="D8" s="4"/>
      <c r="E8" s="4"/>
      <c r="F8" s="4"/>
      <c r="G8" s="4"/>
      <c r="H8" s="4"/>
      <c r="I8" s="4"/>
      <c r="J8" s="4"/>
      <c r="K8" s="4"/>
      <c r="L8" s="4"/>
      <c r="M8" s="4"/>
      <c r="N8" s="5" t="s">
        <v>23</v>
      </c>
      <c r="O8" s="5"/>
      <c r="P8" s="5"/>
      <c r="Q8" s="4"/>
      <c r="R8" s="4"/>
      <c r="S8" s="4"/>
      <c r="T8" s="4"/>
      <c r="U8" s="4"/>
      <c r="V8" s="4"/>
      <c r="W8" s="4"/>
      <c r="X8" s="4"/>
      <c r="Y8" s="4"/>
      <c r="Z8" s="4"/>
      <c r="AA8" s="4"/>
      <c r="AB8" s="4"/>
      <c r="AC8" s="4"/>
    </row>
    <row r="9" spans="1:30" x14ac:dyDescent="0.3">
      <c r="A9" s="4"/>
      <c r="B9" s="4"/>
      <c r="C9" s="4"/>
      <c r="D9" s="4"/>
      <c r="E9" s="4"/>
      <c r="F9" s="4"/>
      <c r="G9" s="4"/>
      <c r="H9" s="4"/>
      <c r="I9" s="4"/>
      <c r="J9" s="4"/>
      <c r="K9" s="4"/>
      <c r="L9" s="4"/>
      <c r="M9" s="4"/>
      <c r="N9" s="5"/>
      <c r="O9" s="5"/>
      <c r="P9" s="5"/>
      <c r="Q9" s="4"/>
      <c r="R9" s="4"/>
      <c r="S9" s="4"/>
      <c r="T9" s="4"/>
      <c r="U9" s="4"/>
      <c r="V9" s="4"/>
      <c r="W9" s="4"/>
      <c r="X9" s="4"/>
      <c r="Y9" s="4"/>
      <c r="Z9" s="4"/>
      <c r="AA9" s="4"/>
      <c r="AB9" s="4"/>
      <c r="AC9" s="4"/>
    </row>
    <row r="10" spans="1:30" ht="14.4" customHeight="1" x14ac:dyDescent="0.3">
      <c r="A10" s="4"/>
      <c r="B10" s="4"/>
      <c r="C10" s="4"/>
      <c r="D10" s="4"/>
      <c r="E10" s="4"/>
      <c r="F10" s="4"/>
      <c r="G10" s="4"/>
      <c r="H10" s="4"/>
      <c r="I10" s="4"/>
      <c r="J10" s="4"/>
      <c r="K10" s="4"/>
      <c r="L10" s="4"/>
      <c r="M10" s="4"/>
      <c r="N10" s="6">
        <f>GETPIVOTDATA("[Measures].[Number]",Reports!$A$28)</f>
        <v>922</v>
      </c>
      <c r="O10" s="6"/>
      <c r="P10" s="6"/>
      <c r="Q10" s="4"/>
      <c r="R10" s="4"/>
      <c r="S10" s="4"/>
      <c r="T10" s="4"/>
      <c r="U10" s="4"/>
      <c r="V10" s="4"/>
      <c r="W10" s="4"/>
      <c r="X10" s="4"/>
      <c r="Y10" s="4"/>
      <c r="Z10" s="4"/>
      <c r="AA10" s="4"/>
      <c r="AB10" s="4"/>
      <c r="AC10" s="4"/>
    </row>
    <row r="11" spans="1:30" ht="14.4" customHeight="1" x14ac:dyDescent="0.3">
      <c r="A11" s="4"/>
      <c r="B11" s="4"/>
      <c r="C11" s="4"/>
      <c r="D11" s="4"/>
      <c r="E11" s="4"/>
      <c r="F11" s="4"/>
      <c r="G11" s="4"/>
      <c r="H11" s="4"/>
      <c r="I11" s="4"/>
      <c r="J11" s="4"/>
      <c r="K11" s="4"/>
      <c r="L11" s="4"/>
      <c r="M11" s="4"/>
      <c r="N11" s="6"/>
      <c r="O11" s="6"/>
      <c r="P11" s="6"/>
      <c r="Q11" s="4"/>
      <c r="R11" s="4"/>
      <c r="S11" s="4"/>
      <c r="T11" s="4"/>
      <c r="U11" s="4"/>
      <c r="V11" s="4"/>
      <c r="W11" s="4"/>
      <c r="X11" s="4"/>
      <c r="Y11" s="4"/>
      <c r="Z11" s="4"/>
      <c r="AA11" s="4"/>
      <c r="AB11" s="4"/>
      <c r="AC11" s="4"/>
    </row>
    <row r="12" spans="1:30"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30"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30" x14ac:dyDescent="0.3">
      <c r="A14" s="4"/>
      <c r="B14" s="4"/>
      <c r="C14" s="4"/>
      <c r="D14" s="4"/>
      <c r="E14" s="4"/>
      <c r="F14" s="4"/>
      <c r="G14" s="4"/>
      <c r="H14" s="4"/>
      <c r="I14" s="4"/>
      <c r="J14" s="4"/>
      <c r="K14" s="4"/>
      <c r="L14" s="4"/>
      <c r="M14" s="4"/>
      <c r="N14" s="7" t="s">
        <v>37</v>
      </c>
      <c r="O14" s="7"/>
      <c r="P14" s="7"/>
      <c r="Q14" s="4"/>
      <c r="R14" s="4"/>
      <c r="S14" s="4"/>
      <c r="T14" s="4"/>
      <c r="U14" s="4"/>
      <c r="V14" s="4"/>
      <c r="W14" s="4"/>
      <c r="X14" s="4"/>
      <c r="Y14" s="4"/>
      <c r="Z14" s="4"/>
      <c r="AA14" s="4"/>
      <c r="AB14" s="4"/>
      <c r="AC14" s="4"/>
    </row>
    <row r="15" spans="1:30" x14ac:dyDescent="0.3">
      <c r="A15" s="4"/>
      <c r="B15" s="4"/>
      <c r="C15" s="4"/>
      <c r="D15" s="4"/>
      <c r="E15" s="4"/>
      <c r="F15" s="4"/>
      <c r="G15" s="4"/>
      <c r="H15" s="4"/>
      <c r="I15" s="4"/>
      <c r="J15" s="4"/>
      <c r="K15" s="4"/>
      <c r="L15" s="4"/>
      <c r="M15" s="4"/>
      <c r="N15" s="7"/>
      <c r="O15" s="7"/>
      <c r="P15" s="7"/>
      <c r="Q15" s="4"/>
      <c r="R15" s="4"/>
      <c r="S15" s="4"/>
      <c r="T15" s="4"/>
      <c r="U15" s="4"/>
      <c r="V15" s="4"/>
      <c r="W15" s="4"/>
      <c r="X15" s="4"/>
      <c r="Y15" s="4"/>
      <c r="Z15" s="4"/>
      <c r="AA15" s="4"/>
      <c r="AB15" s="4"/>
      <c r="AC15" s="4"/>
    </row>
    <row r="16" spans="1:30" x14ac:dyDescent="0.3">
      <c r="A16" s="4"/>
      <c r="B16" s="4"/>
      <c r="C16" s="4"/>
      <c r="D16" s="4"/>
      <c r="E16" s="4"/>
      <c r="F16" s="4"/>
      <c r="G16" s="4"/>
      <c r="H16" s="4"/>
      <c r="I16" s="4"/>
      <c r="J16" s="4"/>
      <c r="K16" s="4"/>
      <c r="L16" s="4"/>
      <c r="M16" s="4"/>
      <c r="N16" s="8">
        <f>GETPIVOTDATA("[Measures].[Average of Age]",Reports!$A$54)</f>
        <v>8.2339479392624746</v>
      </c>
      <c r="O16" s="8"/>
      <c r="P16" s="8"/>
      <c r="Q16" s="4"/>
      <c r="R16" s="4"/>
      <c r="S16" s="4"/>
      <c r="T16" s="4"/>
      <c r="U16" s="4"/>
      <c r="V16" s="4"/>
      <c r="W16" s="4"/>
      <c r="X16" s="4"/>
      <c r="Y16" s="4"/>
      <c r="Z16" s="4"/>
      <c r="AA16" s="4"/>
      <c r="AB16" s="4"/>
      <c r="AC16" s="4"/>
    </row>
    <row r="17" spans="1:29" x14ac:dyDescent="0.3">
      <c r="A17" s="4"/>
      <c r="B17" s="4"/>
      <c r="C17" s="4"/>
      <c r="D17" s="4"/>
      <c r="E17" s="4"/>
      <c r="F17" s="4"/>
      <c r="G17" s="4"/>
      <c r="H17" s="4"/>
      <c r="I17" s="4"/>
      <c r="J17" s="4"/>
      <c r="K17" s="4"/>
      <c r="L17" s="4"/>
      <c r="M17" s="4"/>
      <c r="N17" s="8"/>
      <c r="O17" s="8"/>
      <c r="P17" s="8"/>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9"/>
      <c r="O18" s="9"/>
      <c r="P18" s="9"/>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9"/>
      <c r="O19" s="9"/>
      <c r="P19" s="9"/>
      <c r="Q19" s="4"/>
      <c r="R19" s="4"/>
      <c r="S19" s="4"/>
      <c r="T19" s="4"/>
      <c r="U19" s="4"/>
      <c r="V19" s="4"/>
      <c r="W19" s="4"/>
      <c r="X19" s="4"/>
      <c r="Y19" s="4"/>
      <c r="Z19" s="4"/>
      <c r="AA19" s="4"/>
      <c r="AB19" s="4"/>
      <c r="AC19" s="4"/>
    </row>
    <row r="20" spans="1:29" x14ac:dyDescent="0.3">
      <c r="A20" s="4"/>
      <c r="B20" s="4"/>
      <c r="C20" s="4"/>
      <c r="D20" s="4"/>
      <c r="E20" s="4"/>
      <c r="F20" s="4"/>
      <c r="G20" s="4"/>
      <c r="H20" s="4"/>
      <c r="I20" s="4"/>
      <c r="J20" s="4"/>
      <c r="K20" s="4"/>
      <c r="L20" s="4"/>
      <c r="M20" s="4"/>
      <c r="N20" s="5" t="s">
        <v>38</v>
      </c>
      <c r="O20" s="5"/>
      <c r="P20" s="5"/>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5"/>
      <c r="O21" s="5"/>
      <c r="P21" s="5"/>
      <c r="Q21" s="4"/>
      <c r="R21" s="4"/>
      <c r="S21" s="4"/>
      <c r="T21" s="4"/>
      <c r="U21" s="4"/>
      <c r="V21" s="4"/>
      <c r="W21" s="4"/>
      <c r="X21" s="4"/>
      <c r="Y21" s="4"/>
      <c r="Z21" s="4"/>
      <c r="AA21" s="4"/>
      <c r="AB21" s="4"/>
      <c r="AC21" s="4"/>
    </row>
    <row r="22" spans="1:29" x14ac:dyDescent="0.3">
      <c r="A22" s="4"/>
      <c r="B22" s="4"/>
      <c r="C22" s="4"/>
      <c r="D22" s="4"/>
      <c r="E22" s="4"/>
      <c r="F22" s="4"/>
      <c r="G22" s="4"/>
      <c r="H22" s="4"/>
      <c r="I22" s="4"/>
      <c r="J22" s="4"/>
      <c r="K22" s="4"/>
      <c r="L22" s="4"/>
      <c r="M22" s="4"/>
      <c r="N22" s="8">
        <f>GETPIVOTDATA("[Measures].[Average of Weight_kg]",Reports!$A$59)</f>
        <v>15.334598698481539</v>
      </c>
      <c r="O22" s="8"/>
      <c r="P22" s="8"/>
      <c r="Q22" s="4"/>
      <c r="R22" s="4"/>
      <c r="S22" s="4"/>
      <c r="T22" s="4"/>
      <c r="U22" s="4"/>
      <c r="V22" s="4"/>
      <c r="W22" s="4"/>
      <c r="X22" s="4"/>
      <c r="Y22" s="4"/>
      <c r="Z22" s="4"/>
      <c r="AA22" s="4"/>
      <c r="AB22" s="4"/>
      <c r="AC22" s="4"/>
    </row>
    <row r="23" spans="1:29" x14ac:dyDescent="0.3">
      <c r="A23" s="4"/>
      <c r="B23" s="4"/>
      <c r="C23" s="4"/>
      <c r="D23" s="4"/>
      <c r="E23" s="4"/>
      <c r="F23" s="4"/>
      <c r="G23" s="4"/>
      <c r="H23" s="4"/>
      <c r="I23" s="4"/>
      <c r="J23" s="4"/>
      <c r="K23" s="4"/>
      <c r="L23" s="4"/>
      <c r="M23" s="4"/>
      <c r="N23" s="8"/>
      <c r="O23" s="8"/>
      <c r="P23" s="8"/>
      <c r="Q23" s="4"/>
      <c r="R23" s="4"/>
      <c r="S23" s="4"/>
      <c r="T23" s="4"/>
      <c r="U23" s="4"/>
      <c r="V23" s="4"/>
      <c r="W23" s="4"/>
      <c r="X23" s="4"/>
      <c r="Y23" s="4"/>
      <c r="Z23" s="4"/>
      <c r="AA23" s="4"/>
      <c r="AB23" s="4"/>
      <c r="AC23" s="4"/>
    </row>
    <row r="24" spans="1:29"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sheetData>
  <mergeCells count="7">
    <mergeCell ref="N22:P23"/>
    <mergeCell ref="N18:P19"/>
    <mergeCell ref="N8:P9"/>
    <mergeCell ref="N10:P11"/>
    <mergeCell ref="N14:P15"/>
    <mergeCell ref="N16:P17"/>
    <mergeCell ref="N20:P21"/>
  </mergeCells>
  <printOptions horizontalCentered="1" verticalCentered="1"/>
  <pageMargins left="0" right="0" top="0" bottom="0" header="0" footer="0"/>
  <pageSetup scale="5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17B3702-4FDD-44FB-9F80-2099D51EA5CE}">
  <ds:schemaRefs/>
</ds:datastoreItem>
</file>

<file path=customXml/itemProps2.xml><?xml version="1.0" encoding="utf-8"?>
<ds:datastoreItem xmlns:ds="http://schemas.openxmlformats.org/officeDocument/2006/customXml" ds:itemID="{12592F0E-E795-4964-A45B-A862180A5DFC}">
  <ds:schemaRefs/>
</ds:datastoreItem>
</file>

<file path=customXml/itemProps3.xml><?xml version="1.0" encoding="utf-8"?>
<ds:datastoreItem xmlns:ds="http://schemas.openxmlformats.org/officeDocument/2006/customXml" ds:itemID="{7C4ACA4D-D13E-4E96-9D2F-6079ABA9847A}">
  <ds:schemaRefs/>
</ds:datastoreItem>
</file>

<file path=customXml/itemProps4.xml><?xml version="1.0" encoding="utf-8"?>
<ds:datastoreItem xmlns:ds="http://schemas.openxmlformats.org/officeDocument/2006/customXml" ds:itemID="{1AC9B218-78DD-4B14-AE2D-A51C1FA18A86}">
  <ds:schemaRefs/>
</ds:datastoreItem>
</file>

<file path=customXml/itemProps5.xml><?xml version="1.0" encoding="utf-8"?>
<ds:datastoreItem xmlns:ds="http://schemas.openxmlformats.org/officeDocument/2006/customXml" ds:itemID="{B16C24B3-977A-439D-A969-62061331F1B6}">
  <ds:schemaRefs/>
</ds:datastoreItem>
</file>

<file path=customXml/itemProps6.xml><?xml version="1.0" encoding="utf-8"?>
<ds:datastoreItem xmlns:ds="http://schemas.openxmlformats.org/officeDocument/2006/customXml" ds:itemID="{90EACB7F-55DB-4C5A-815D-DBD3CAB980CA}">
  <ds:schemaRefs/>
</ds:datastoreItem>
</file>

<file path=customXml/itemProps7.xml><?xml version="1.0" encoding="utf-8"?>
<ds:datastoreItem xmlns:ds="http://schemas.openxmlformats.org/officeDocument/2006/customXml" ds:itemID="{E206A5B7-3E8A-4DC6-A90B-4565FA7BB4D6}">
  <ds:schemaRefs/>
</ds:datastoreItem>
</file>

<file path=customXml/itemProps8.xml><?xml version="1.0" encoding="utf-8"?>
<ds:datastoreItem xmlns:ds="http://schemas.openxmlformats.org/officeDocument/2006/customXml" ds:itemID="{FDA6F77E-19D0-43B6-B427-9859FE884FB4}">
  <ds:schemaRefs>
    <ds:schemaRef ds:uri="http://schemas.microsoft.com/DataMashup"/>
  </ds:schemaRefs>
</ds:datastoreItem>
</file>

<file path=customXml/itemProps9.xml><?xml version="1.0" encoding="utf-8"?>
<ds:datastoreItem xmlns:ds="http://schemas.openxmlformats.org/officeDocument/2006/customXml" ds:itemID="{354C2C8D-7C2F-49DC-B464-BA258D84FF2D}">
  <ds:schemaRefs/>
</ds:datastoreItem>
</file>

<file path=customXml/itemProps10.xml><?xml version="1.0" encoding="utf-8"?>
<ds:datastoreItem xmlns:ds="http://schemas.openxmlformats.org/officeDocument/2006/customXml" ds:itemID="{9410983C-5EDE-49B0-8226-4DD3E403B89C}">
  <ds:schemaRefs/>
</ds:datastoreItem>
</file>

<file path=customXml/itemProps11.xml><?xml version="1.0" encoding="utf-8"?>
<ds:datastoreItem xmlns:ds="http://schemas.openxmlformats.org/officeDocument/2006/customXml" ds:itemID="{16B48742-E593-455E-B9EC-15AF8EEBBB02}">
  <ds:schemaRefs/>
</ds:datastoreItem>
</file>

<file path=customXml/itemProps12.xml><?xml version="1.0" encoding="utf-8"?>
<ds:datastoreItem xmlns:ds="http://schemas.openxmlformats.org/officeDocument/2006/customXml" ds:itemID="{D3535E59-53EB-45EB-A311-5FDBFBB8828A}">
  <ds:schemaRefs/>
</ds:datastoreItem>
</file>

<file path=customXml/itemProps13.xml><?xml version="1.0" encoding="utf-8"?>
<ds:datastoreItem xmlns:ds="http://schemas.openxmlformats.org/officeDocument/2006/customXml" ds:itemID="{70507BD3-50E1-4190-802F-255906B1485E}">
  <ds:schemaRefs/>
</ds:datastoreItem>
</file>

<file path=customXml/itemProps14.xml><?xml version="1.0" encoding="utf-8"?>
<ds:datastoreItem xmlns:ds="http://schemas.openxmlformats.org/officeDocument/2006/customXml" ds:itemID="{51F880DD-4490-444E-AA8C-E659D09A4836}">
  <ds:schemaRefs/>
</ds:datastoreItem>
</file>

<file path=customXml/itemProps15.xml><?xml version="1.0" encoding="utf-8"?>
<ds:datastoreItem xmlns:ds="http://schemas.openxmlformats.org/officeDocument/2006/customXml" ds:itemID="{13F8A407-2785-42A4-ABBA-F74C360A52B7}">
  <ds:schemaRefs/>
</ds:datastoreItem>
</file>

<file path=customXml/itemProps16.xml><?xml version="1.0" encoding="utf-8"?>
<ds:datastoreItem xmlns:ds="http://schemas.openxmlformats.org/officeDocument/2006/customXml" ds:itemID="{89494419-2AA5-45F7-8C02-F4EB11651E8C}">
  <ds:schemaRefs/>
</ds:datastoreItem>
</file>

<file path=customXml/itemProps17.xml><?xml version="1.0" encoding="utf-8"?>
<ds:datastoreItem xmlns:ds="http://schemas.openxmlformats.org/officeDocument/2006/customXml" ds:itemID="{BD03C4D1-3A21-4CEA-82BB-35DEA43E31D2}">
  <ds:schemaRefs/>
</ds:datastoreItem>
</file>

<file path=customXml/itemProps18.xml><?xml version="1.0" encoding="utf-8"?>
<ds:datastoreItem xmlns:ds="http://schemas.openxmlformats.org/officeDocument/2006/customXml" ds:itemID="{F21A2B9A-E62F-47DE-80CA-839974C76A32}">
  <ds:schemaRefs/>
</ds:datastoreItem>
</file>

<file path=customXml/itemProps19.xml><?xml version="1.0" encoding="utf-8"?>
<ds:datastoreItem xmlns:ds="http://schemas.openxmlformats.org/officeDocument/2006/customXml" ds:itemID="{B25618A0-026E-4495-B382-F7DF37EAAEFA}">
  <ds:schemaRefs/>
</ds:datastoreItem>
</file>

<file path=customXml/itemProps20.xml><?xml version="1.0" encoding="utf-8"?>
<ds:datastoreItem xmlns:ds="http://schemas.openxmlformats.org/officeDocument/2006/customXml" ds:itemID="{4EC9A693-253D-4B0F-ABAD-303C655B529B}">
  <ds:schemaRefs/>
</ds:datastoreItem>
</file>

<file path=customXml/itemProps21.xml><?xml version="1.0" encoding="utf-8"?>
<ds:datastoreItem xmlns:ds="http://schemas.openxmlformats.org/officeDocument/2006/customXml" ds:itemID="{A0C1F7AA-38AA-44E7-9696-4E3BE3493829}">
  <ds:schemaRefs/>
</ds:datastoreItem>
</file>

<file path=customXml/itemProps22.xml><?xml version="1.0" encoding="utf-8"?>
<ds:datastoreItem xmlns:ds="http://schemas.openxmlformats.org/officeDocument/2006/customXml" ds:itemID="{6BBC9D65-55BA-41D3-AD14-1F35B74CCB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Reports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Ahmed s</cp:lastModifiedBy>
  <cp:lastPrinted>2026-04-02T13:00:20Z</cp:lastPrinted>
  <dcterms:created xsi:type="dcterms:W3CDTF">2015-06-05T18:17:20Z</dcterms:created>
  <dcterms:modified xsi:type="dcterms:W3CDTF">2026-04-02T13:00:27Z</dcterms:modified>
</cp:coreProperties>
</file>